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\OneDrive\Desktop\PythonDMCGUI\"/>
    </mc:Choice>
  </mc:AlternateContent>
  <xr:revisionPtr revIDLastSave="0" documentId="13_ncr:1_{9DE35851-E195-4D9E-969B-25D419FEA3DB}" xr6:coauthVersionLast="47" xr6:coauthVersionMax="47" xr10:uidLastSave="{00000000-0000-0000-0000-000000000000}"/>
  <bookViews>
    <workbookView xWindow="-108" yWindow="-108" windowWidth="23256" windowHeight="13896" xr2:uid="{949EAB26-A172-4DDA-B27A-10BE13050F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<sst xmlns="http://schemas.openxmlformats.org/spreadsheetml/2006/main" count="12" uniqueCount="6">
  <si>
    <t>dBL_heel_cts</t>
  </si>
  <si>
    <t>WPivot_cts</t>
  </si>
  <si>
    <t>deltaC after lift</t>
  </si>
  <si>
    <t>raw C after lift</t>
  </si>
  <si>
    <t>23 from 1-54</t>
  </si>
  <si>
    <t>266 from 55-200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</si>
</sst>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CDB3-BF23-443A-A8FA-98F0867E2C91}">
  <dimension ref="A1:K206"/>
  <sheetViews>
    <sheetView tabSelected="1" workbookViewId="0">
      <selection activeCell="Q77" sqref="Q77"/>
    </sheetView>
  </sheetViews>
  <sheetFormatPr defaultRowHeight="14.4" x14ac:dyDescent="0.3"/>
  <cols>
    <col min="1" max="1" width="13.5546875" customWidth="1"/>
    <col min="2" max="2" width="14.109375" customWidth="1"/>
    <col min="3" max="3" width="14.44140625" customWidth="1"/>
    <col min="4" max="4" width="15.109375" customWidth="1"/>
    <col min="5" max="5" width="15" customWidth="1"/>
    <col min="7" max="7" width="15.109375" customWidth="1"/>
    <col min="10" max="10" width="15.109375" customWidth="1"/>
  </cols>
  <sheetData>
    <row r="1" spans="1:11" x14ac:dyDescent="0.3">
      <c r="A1" t="s">
        <v>1</v>
      </c>
      <c r="B1" t="s">
        <v>0</v>
      </c>
      <c r="D1" t="s">
        <v>2</v>
      </c>
      <c r="E1" t="s">
        <v>3</v>
      </c>
      <c r="G1" t="s">
        <v>2</v>
      </c>
      <c r="J1" t="s">
        <v>2</v>
      </c>
    </row>
    <row r="2" spans="1:11" x14ac:dyDescent="0.3">
      <c r="A2">
        <v>35000</v>
      </c>
      <c r="B2">
        <v>60</v>
      </c>
      <c r="C2">
        <v>1.4999999999999999E-2</v>
      </c>
      <c r="D2">
        <f>0*(SIN(RADIANS(0.85)))</f>
        <v>0</v>
      </c>
      <c r="E2">
        <f>35000*(SIN(RADIANS(0.85)))</f>
        <v>519.2164065948441</v>
      </c>
      <c r="G2">
        <f>(60*(SIN(RADIANS(0.85))))*-1</f>
        <v>-0.89008526844830427</v>
      </c>
      <c r="J2">
        <f>((60*(SIN(RADIANS(0.85))))*-1)*1.2</f>
        <v>-1.0681023221379651</v>
      </c>
      <c r="K2">
        <f>ROUND(J2, 0)</f>
        <v>-1</v>
      </c>
    </row>
    <row r="3" spans="1:11" x14ac:dyDescent="0.3">
      <c r="A3">
        <v>35060</v>
      </c>
      <c r="B3">
        <v>59</v>
      </c>
      <c r="D3">
        <f>60*(SIN(RADIANS(0.85)))</f>
        <v>0.89008526844830427</v>
      </c>
      <c r="E3">
        <f>35060*(SIN(RADIANS(0.85)))</f>
        <v>520.10649186329249</v>
      </c>
      <c r="G3">
        <f>(59*(SIN(RADIANS(0.85))))*-1</f>
        <v>-0.87525051397416587</v>
      </c>
      <c r="J3">
        <f>((59*(SIN(RADIANS(0.85))))*-1)*1.2</f>
        <v>-1.050300616768999</v>
      </c>
      <c r="K3">
        <f t="shared" ref="K3:K66" si="0">ROUND(J3, 0)</f>
        <v>-1</v>
      </c>
    </row>
    <row r="4" spans="1:11" x14ac:dyDescent="0.3">
      <c r="A4">
        <v>35118</v>
      </c>
      <c r="B4">
        <v>58</v>
      </c>
      <c r="D4">
        <f>59*(SIN(RADIANS(0.85)))</f>
        <v>0.87525051397416587</v>
      </c>
      <c r="E4">
        <f>35118*(SIN(RADIANS(0.85)))</f>
        <v>520.96690762279252</v>
      </c>
      <c r="G4">
        <f>(58*(SIN(RADIANS(0.85))))*-1</f>
        <v>-0.86041575950002747</v>
      </c>
      <c r="J4">
        <f>((58*(SIN(RADIANS(0.85))))*-1)*1.2</f>
        <v>-1.0324989114000329</v>
      </c>
      <c r="K4">
        <f t="shared" si="0"/>
        <v>-1</v>
      </c>
    </row>
    <row r="5" spans="1:11" x14ac:dyDescent="0.3">
      <c r="A5">
        <v>35177</v>
      </c>
      <c r="B5">
        <v>59</v>
      </c>
      <c r="D5">
        <f>58*(SIN(RADIANS(0.85)))</f>
        <v>0.86041575950002747</v>
      </c>
      <c r="E5">
        <f>35177*(SIN(RADIANS(0.85)))</f>
        <v>521.84215813676667</v>
      </c>
      <c r="G5">
        <f>(59*(SIN(RADIANS(0.85))))*-1</f>
        <v>-0.87525051397416587</v>
      </c>
      <c r="J5">
        <f>((59*(SIN(RADIANS(0.85))))*-1)*1.2</f>
        <v>-1.050300616768999</v>
      </c>
      <c r="K5">
        <f t="shared" si="0"/>
        <v>-1</v>
      </c>
    </row>
    <row r="6" spans="1:11" x14ac:dyDescent="0.3">
      <c r="A6">
        <v>35236</v>
      </c>
      <c r="B6">
        <v>60</v>
      </c>
      <c r="D6">
        <f>59*(SIN(RADIANS(0.85)))</f>
        <v>0.87525051397416587</v>
      </c>
      <c r="E6">
        <f>35236*(SIN(RADIANS(0.85)))</f>
        <v>522.71740865074082</v>
      </c>
      <c r="G6">
        <f>(60*(SIN(RADIANS(0.85))))*-1</f>
        <v>-0.89008526844830427</v>
      </c>
      <c r="J6">
        <f>((60*(SIN(RADIANS(0.85))))*-1)*1.2</f>
        <v>-1.0681023221379651</v>
      </c>
      <c r="K6">
        <f t="shared" si="0"/>
        <v>-1</v>
      </c>
    </row>
    <row r="7" spans="1:11" x14ac:dyDescent="0.3">
      <c r="A7">
        <v>35296</v>
      </c>
      <c r="B7">
        <v>54</v>
      </c>
      <c r="D7">
        <f>60*(SIN(RADIANS(0.85)))</f>
        <v>0.89008526844830427</v>
      </c>
      <c r="E7">
        <f>35296*(SIN(RADIANS(0.85)))</f>
        <v>523.6074939191891</v>
      </c>
      <c r="G7">
        <f>(54*(SIN(RADIANS(0.85))))*-1</f>
        <v>-0.80107674160347386</v>
      </c>
      <c r="J7">
        <f>((54*(SIN(RADIANS(0.85))))*-1)*1.2</f>
        <v>-0.96129208992416859</v>
      </c>
      <c r="K7">
        <f t="shared" si="0"/>
        <v>-1</v>
      </c>
    </row>
    <row r="8" spans="1:11" x14ac:dyDescent="0.3">
      <c r="A8">
        <v>35349</v>
      </c>
      <c r="B8">
        <v>52</v>
      </c>
      <c r="D8">
        <f>54*(SIN(RADIANS(0.85)))</f>
        <v>0.80107674160347386</v>
      </c>
      <c r="E8">
        <f>35349*(SIN(RADIANS(0.85)))</f>
        <v>524.3937359063184</v>
      </c>
      <c r="G8">
        <f>(52*(SIN(RADIANS(0.85))))*-1</f>
        <v>-0.77140723265519706</v>
      </c>
      <c r="J8">
        <f>((52*(SIN(RADIANS(0.85))))*-1)*1.2</f>
        <v>-0.92568867918623643</v>
      </c>
      <c r="K8">
        <f t="shared" si="0"/>
        <v>-1</v>
      </c>
    </row>
    <row r="9" spans="1:11" x14ac:dyDescent="0.3">
      <c r="A9">
        <v>35402</v>
      </c>
      <c r="B9">
        <v>53</v>
      </c>
      <c r="D9">
        <f>52*(SIN(RADIANS(0.85)))</f>
        <v>0.77140723265519706</v>
      </c>
      <c r="E9">
        <f>35402*(SIN(RADIANS(0.85)))</f>
        <v>525.17997789344781</v>
      </c>
      <c r="G9">
        <f>(53*(SIN(RADIANS(0.85))))*-1</f>
        <v>-0.78624198712933546</v>
      </c>
      <c r="J9">
        <f>((53*(SIN(RADIANS(0.85))))*-1)*1.2</f>
        <v>-0.94349038455520251</v>
      </c>
      <c r="K9">
        <f t="shared" si="0"/>
        <v>-1</v>
      </c>
    </row>
    <row r="10" spans="1:11" x14ac:dyDescent="0.3">
      <c r="A10">
        <v>35455</v>
      </c>
      <c r="B10">
        <v>53</v>
      </c>
      <c r="D10">
        <f>53*(SIN(RADIANS(0.85)))</f>
        <v>0.78624198712933546</v>
      </c>
      <c r="E10">
        <f>35455*(SIN(RADIANS(0.85)))</f>
        <v>525.96621988057711</v>
      </c>
      <c r="G10">
        <f>(53*(SIN(RADIANS(0.85))))*-1</f>
        <v>-0.78624198712933546</v>
      </c>
      <c r="J10">
        <f>((53*(SIN(RADIANS(0.85))))*-1)*1.2</f>
        <v>-0.94349038455520251</v>
      </c>
      <c r="K10">
        <f t="shared" si="0"/>
        <v>-1</v>
      </c>
    </row>
    <row r="11" spans="1:11" x14ac:dyDescent="0.3">
      <c r="A11">
        <v>35508</v>
      </c>
      <c r="B11">
        <v>52</v>
      </c>
      <c r="D11">
        <f>53*(SIN(RADIANS(0.85)))</f>
        <v>0.78624198712933546</v>
      </c>
      <c r="E11">
        <f>35508*(SIN(RADIANS(0.85)))</f>
        <v>526.75246186770642</v>
      </c>
      <c r="G11">
        <f>(52*(SIN(RADIANS(0.85))))*-1</f>
        <v>-0.77140723265519706</v>
      </c>
      <c r="J11">
        <f>((52*(SIN(RADIANS(0.85))))*-1)*1.2</f>
        <v>-0.92568867918623643</v>
      </c>
      <c r="K11">
        <f t="shared" si="0"/>
        <v>-1</v>
      </c>
    </row>
    <row r="12" spans="1:11" x14ac:dyDescent="0.3">
      <c r="A12">
        <v>35560</v>
      </c>
      <c r="B12">
        <v>48</v>
      </c>
      <c r="D12">
        <f>52*(SIN(RADIANS(0.85)))</f>
        <v>0.77140723265519706</v>
      </c>
      <c r="E12">
        <f>35560*(SIN(RADIANS(0.85)))</f>
        <v>527.52386910036171</v>
      </c>
      <c r="G12">
        <f>(48*(SIN(RADIANS(0.85))))*-1</f>
        <v>-0.71206821475864346</v>
      </c>
      <c r="J12">
        <f>((48*(SIN(RADIANS(0.85))))*-1)*1.2</f>
        <v>-0.85448185771037211</v>
      </c>
      <c r="K12">
        <f t="shared" si="0"/>
        <v>-1</v>
      </c>
    </row>
    <row r="13" spans="1:11" x14ac:dyDescent="0.3">
      <c r="A13">
        <v>35608</v>
      </c>
      <c r="B13">
        <v>47</v>
      </c>
      <c r="D13">
        <f>48*(SIN(RADIANS(0.85)))</f>
        <v>0.71206821475864346</v>
      </c>
      <c r="E13">
        <f>35608*(SIN(RADIANS(0.85)))</f>
        <v>528.23593731512028</v>
      </c>
      <c r="G13">
        <f>(47*(SIN(RADIANS(0.85))))*-1</f>
        <v>-0.69723346028450495</v>
      </c>
      <c r="J13">
        <f>((47*(SIN(RADIANS(0.85))))*-1)*1.2</f>
        <v>-0.83668015234140591</v>
      </c>
      <c r="K13">
        <f t="shared" si="0"/>
        <v>-1</v>
      </c>
    </row>
    <row r="14" spans="1:11" x14ac:dyDescent="0.3">
      <c r="A14">
        <v>35655</v>
      </c>
      <c r="B14">
        <v>47</v>
      </c>
      <c r="D14">
        <f>47*(SIN(RADIANS(0.85)))</f>
        <v>0.69723346028450495</v>
      </c>
      <c r="E14">
        <f>35655*(SIN(RADIANS(0.85)))</f>
        <v>528.93317077540485</v>
      </c>
      <c r="G14">
        <f>(47*(SIN(RADIANS(0.85))))*-1</f>
        <v>-0.69723346028450495</v>
      </c>
      <c r="J14">
        <f>((47*(SIN(RADIANS(0.85))))*-1)*1.2</f>
        <v>-0.83668015234140591</v>
      </c>
      <c r="K14">
        <f t="shared" si="0"/>
        <v>-1</v>
      </c>
    </row>
    <row r="15" spans="1:11" x14ac:dyDescent="0.3">
      <c r="A15">
        <v>35702</v>
      </c>
      <c r="B15">
        <v>46</v>
      </c>
      <c r="D15">
        <f>47*(SIN(RADIANS(0.85)))</f>
        <v>0.69723346028450495</v>
      </c>
      <c r="E15">
        <f>35702*(SIN(RADIANS(0.85)))</f>
        <v>529.6304042356893</v>
      </c>
      <c r="G15">
        <f>(46*(SIN(RADIANS(0.85))))*-1</f>
        <v>-0.68239870581036655</v>
      </c>
      <c r="J15">
        <f>((46*(SIN(RADIANS(0.85))))*-1)*1.2</f>
        <v>-0.81887844697243983</v>
      </c>
      <c r="K15">
        <f t="shared" si="0"/>
        <v>-1</v>
      </c>
    </row>
    <row r="16" spans="1:11" x14ac:dyDescent="0.3">
      <c r="A16">
        <v>35748</v>
      </c>
      <c r="B16">
        <v>47</v>
      </c>
      <c r="D16">
        <f>46*(SIN(RADIANS(0.85)))</f>
        <v>0.68239870581036655</v>
      </c>
      <c r="E16">
        <f>35748*(SIN(RADIANS(0.85)))</f>
        <v>530.31280294149963</v>
      </c>
      <c r="G16">
        <f>(47*(SIN(RADIANS(0.85))))*-1</f>
        <v>-0.69723346028450495</v>
      </c>
      <c r="J16">
        <f>((47*(SIN(RADIANS(0.85))))*-1)*1.2</f>
        <v>-0.83668015234140591</v>
      </c>
      <c r="K16">
        <f t="shared" si="0"/>
        <v>-1</v>
      </c>
    </row>
    <row r="17" spans="1:11" x14ac:dyDescent="0.3">
      <c r="A17">
        <v>35795</v>
      </c>
      <c r="B17">
        <v>43</v>
      </c>
      <c r="D17">
        <f>47*(SIN(RADIANS(0.85)))</f>
        <v>0.69723346028450495</v>
      </c>
      <c r="E17">
        <f>35795*(SIN(RADIANS(0.85)))</f>
        <v>531.01003640178419</v>
      </c>
      <c r="G17">
        <f>(43*(SIN(RADIANS(0.85))))*-1</f>
        <v>-0.63789444238795134</v>
      </c>
      <c r="J17">
        <f>((43*(SIN(RADIANS(0.85))))*-1)*1.2</f>
        <v>-0.76547333086554159</v>
      </c>
      <c r="K17">
        <f t="shared" si="0"/>
        <v>-1</v>
      </c>
    </row>
    <row r="18" spans="1:11" x14ac:dyDescent="0.3">
      <c r="A18">
        <v>35838</v>
      </c>
      <c r="B18">
        <v>41</v>
      </c>
      <c r="D18">
        <f>43*(SIN(RADIANS(0.85)))</f>
        <v>0.63789444238795134</v>
      </c>
      <c r="E18">
        <f>35838*(SIN(RADIANS(0.85)))</f>
        <v>531.64793084417215</v>
      </c>
      <c r="G18">
        <f>(41*(SIN(RADIANS(0.85))))*-1</f>
        <v>-0.60822493343967454</v>
      </c>
      <c r="J18">
        <f>((41*(SIN(RADIANS(0.85))))*-1)*1.2</f>
        <v>-0.72986992012760943</v>
      </c>
      <c r="K18">
        <f t="shared" si="0"/>
        <v>-1</v>
      </c>
    </row>
    <row r="19" spans="1:11" x14ac:dyDescent="0.3">
      <c r="A19">
        <v>35879</v>
      </c>
      <c r="B19">
        <v>39</v>
      </c>
      <c r="D19">
        <f>41*(SIN(RADIANS(0.85)))</f>
        <v>0.60822493343967454</v>
      </c>
      <c r="E19">
        <f>35879*(SIN(RADIANS(0.85)))</f>
        <v>532.25615577761175</v>
      </c>
      <c r="G19">
        <f>(39*(SIN(RADIANS(0.85))))*-1</f>
        <v>-0.57855542449139774</v>
      </c>
      <c r="J19">
        <f>((39*(SIN(RADIANS(0.85))))*-1)*1.2</f>
        <v>-0.69426650938967727</v>
      </c>
      <c r="K19">
        <f t="shared" si="0"/>
        <v>-1</v>
      </c>
    </row>
    <row r="20" spans="1:11" x14ac:dyDescent="0.3">
      <c r="A20">
        <v>35918</v>
      </c>
      <c r="B20">
        <v>41</v>
      </c>
      <c r="D20">
        <f>39*(SIN(RADIANS(0.85)))</f>
        <v>0.57855542449139774</v>
      </c>
      <c r="E20">
        <f>35918*(SIN(RADIANS(0.85)))</f>
        <v>532.83471120210322</v>
      </c>
      <c r="G20">
        <f>(41*(SIN(RADIANS(0.85))))*-1</f>
        <v>-0.60822493343967454</v>
      </c>
      <c r="J20">
        <f>((41*(SIN(RADIANS(0.85))))*-1)*1.2</f>
        <v>-0.72986992012760943</v>
      </c>
      <c r="K20">
        <f t="shared" si="0"/>
        <v>-1</v>
      </c>
    </row>
    <row r="21" spans="1:11" x14ac:dyDescent="0.3">
      <c r="A21">
        <v>35959</v>
      </c>
      <c r="B21">
        <v>40</v>
      </c>
      <c r="D21">
        <f>41*(SIN(RADIANS(0.85)))</f>
        <v>0.60822493343967454</v>
      </c>
      <c r="E21">
        <f>35959*(SIN(RADIANS(0.85)))</f>
        <v>533.44293613554282</v>
      </c>
      <c r="G21">
        <f>(40*(SIN(RADIANS(0.85))))*-1</f>
        <v>-0.59339017896553614</v>
      </c>
      <c r="J21">
        <f>((40*(SIN(RADIANS(0.85))))*-1)*1.2</f>
        <v>-0.71206821475864335</v>
      </c>
      <c r="K21">
        <f t="shared" si="0"/>
        <v>-1</v>
      </c>
    </row>
    <row r="22" spans="1:11" x14ac:dyDescent="0.3">
      <c r="A22">
        <v>35999</v>
      </c>
      <c r="B22">
        <v>38</v>
      </c>
      <c r="D22">
        <f>40*(SIN(RADIANS(0.85)))</f>
        <v>0.59339017896553614</v>
      </c>
      <c r="E22">
        <f>35999*(SIN(RADIANS(0.85)))</f>
        <v>534.03632631450841</v>
      </c>
      <c r="G22">
        <f>(38*(SIN(RADIANS(0.85))))*-1</f>
        <v>-0.56372067001725934</v>
      </c>
      <c r="J22">
        <f>((38*(SIN(RADIANS(0.85))))*-1)*1.2</f>
        <v>-0.67646480402071119</v>
      </c>
      <c r="K22">
        <f t="shared" si="0"/>
        <v>-1</v>
      </c>
    </row>
    <row r="23" spans="1:11" x14ac:dyDescent="0.3">
      <c r="A23">
        <v>36037</v>
      </c>
      <c r="B23">
        <v>34</v>
      </c>
      <c r="D23">
        <f>38*(SIN(RADIANS(0.85)))</f>
        <v>0.56372067001725934</v>
      </c>
      <c r="E23">
        <f>36037*(SIN(RADIANS(0.85)))</f>
        <v>534.60004698452565</v>
      </c>
      <c r="G23">
        <f>(34*(SIN(RADIANS(0.85))))*-1</f>
        <v>-0.50438165212070574</v>
      </c>
      <c r="J23">
        <f>((34*(SIN(RADIANS(0.85))))*-1)*1.2</f>
        <v>-0.60525798254484686</v>
      </c>
      <c r="K23">
        <f t="shared" si="0"/>
        <v>-1</v>
      </c>
    </row>
    <row r="24" spans="1:11" x14ac:dyDescent="0.3">
      <c r="A24">
        <v>36071</v>
      </c>
      <c r="B24">
        <v>34</v>
      </c>
      <c r="D24">
        <f>34*(SIN(RADIANS(0.85)))</f>
        <v>0.50438165212070574</v>
      </c>
      <c r="E24">
        <f>36071*(SIN(RADIANS(0.85)))</f>
        <v>535.10442863664639</v>
      </c>
      <c r="G24">
        <f>(34*(SIN(RADIANS(0.85))))*-1</f>
        <v>-0.50438165212070574</v>
      </c>
      <c r="J24">
        <f>((34*(SIN(RADIANS(0.85))))*-1)*1.2</f>
        <v>-0.60525798254484686</v>
      </c>
      <c r="K24">
        <f t="shared" si="0"/>
        <v>-1</v>
      </c>
    </row>
    <row r="25" spans="1:11" x14ac:dyDescent="0.3">
      <c r="A25">
        <v>36105</v>
      </c>
      <c r="B25">
        <v>34</v>
      </c>
      <c r="D25">
        <f>34*(SIN(RADIANS(0.85)))</f>
        <v>0.50438165212070574</v>
      </c>
      <c r="E25">
        <f>36105*(SIN(RADIANS(0.85)))</f>
        <v>535.60881028876713</v>
      </c>
      <c r="G25">
        <f>(34*(SIN(RADIANS(0.85))))*-1</f>
        <v>-0.50438165212070574</v>
      </c>
      <c r="J25">
        <f>((34*(SIN(RADIANS(0.85))))*-1)*1.2</f>
        <v>-0.60525798254484686</v>
      </c>
      <c r="K25">
        <f t="shared" si="0"/>
        <v>-1</v>
      </c>
    </row>
    <row r="26" spans="1:11" x14ac:dyDescent="0.3">
      <c r="A26">
        <v>36139</v>
      </c>
      <c r="B26">
        <v>35</v>
      </c>
      <c r="D26">
        <f>34*(SIN(RADIANS(0.85)))</f>
        <v>0.50438165212070574</v>
      </c>
      <c r="E26">
        <f>36139*(SIN(RADIANS(0.85)))</f>
        <v>536.11319194088776</v>
      </c>
      <c r="G26">
        <f>(35*(SIN(RADIANS(0.85))))*-1</f>
        <v>-0.51921640659484414</v>
      </c>
      <c r="J26">
        <f>((35*(SIN(RADIANS(0.85))))*-1)*1.2</f>
        <v>-0.62305968791381294</v>
      </c>
      <c r="K26">
        <f t="shared" si="0"/>
        <v>-1</v>
      </c>
    </row>
    <row r="27" spans="1:11" x14ac:dyDescent="0.3">
      <c r="A27">
        <v>36174</v>
      </c>
      <c r="B27">
        <v>32</v>
      </c>
      <c r="D27">
        <f>35*(SIN(RADIANS(0.85)))</f>
        <v>0.51921640659484414</v>
      </c>
      <c r="E27">
        <f>36174*(SIN(RADIANS(0.85)))</f>
        <v>536.63240834748262</v>
      </c>
      <c r="G27">
        <f>(32*(SIN(RADIANS(0.85))))*-1</f>
        <v>-0.47471214317242894</v>
      </c>
      <c r="J27">
        <f>((32*(SIN(RADIANS(0.85))))*-1)*1.2</f>
        <v>-0.5696545718069147</v>
      </c>
      <c r="K27">
        <f t="shared" si="0"/>
        <v>-1</v>
      </c>
    </row>
    <row r="28" spans="1:11" x14ac:dyDescent="0.3">
      <c r="A28">
        <v>36206</v>
      </c>
      <c r="B28">
        <v>28</v>
      </c>
      <c r="D28">
        <f>32*(SIN(RADIANS(0.85)))</f>
        <v>0.47471214317242894</v>
      </c>
      <c r="E28">
        <f>36206*(SIN(RADIANS(0.85)))</f>
        <v>537.10712049065512</v>
      </c>
      <c r="G28">
        <f>(28*(SIN(RADIANS(0.85))))*-1</f>
        <v>-0.41537312527587533</v>
      </c>
      <c r="J28">
        <f>((28*(SIN(RADIANS(0.85))))*-1)*1.2</f>
        <v>-0.49844775033105038</v>
      </c>
      <c r="K28">
        <f t="shared" si="0"/>
        <v>0</v>
      </c>
    </row>
    <row r="29" spans="1:11" x14ac:dyDescent="0.3">
      <c r="A29">
        <v>36234</v>
      </c>
      <c r="B29">
        <v>28</v>
      </c>
      <c r="D29">
        <f>28*(SIN(RADIANS(0.85)))</f>
        <v>0.41537312527587533</v>
      </c>
      <c r="E29">
        <f>36234*(SIN(RADIANS(0.85)))</f>
        <v>537.5224936159309</v>
      </c>
      <c r="G29">
        <f>(28*(SIN(RADIANS(0.85))))*-1</f>
        <v>-0.41537312527587533</v>
      </c>
      <c r="J29">
        <f>((28*(SIN(RADIANS(0.85))))*-1)*1.2</f>
        <v>-0.49844775033105038</v>
      </c>
      <c r="K29">
        <f t="shared" si="0"/>
        <v>0</v>
      </c>
    </row>
    <row r="30" spans="1:11" x14ac:dyDescent="0.3">
      <c r="A30">
        <v>36262</v>
      </c>
      <c r="B30">
        <v>28</v>
      </c>
      <c r="D30">
        <f>28*(SIN(RADIANS(0.85)))</f>
        <v>0.41537312527587533</v>
      </c>
      <c r="E30">
        <f>36262*(SIN(RADIANS(0.85)))</f>
        <v>537.93786674120679</v>
      </c>
      <c r="G30">
        <f>(28*(SIN(RADIANS(0.85))))*-1</f>
        <v>-0.41537312527587533</v>
      </c>
      <c r="J30">
        <f>((28*(SIN(RADIANS(0.85))))*-1)*1.2</f>
        <v>-0.49844775033105038</v>
      </c>
      <c r="K30">
        <f t="shared" si="0"/>
        <v>0</v>
      </c>
    </row>
    <row r="31" spans="1:11" x14ac:dyDescent="0.3">
      <c r="A31">
        <v>36290</v>
      </c>
      <c r="B31">
        <v>28</v>
      </c>
      <c r="D31">
        <f>28*(SIN(RADIANS(0.85)))</f>
        <v>0.41537312527587533</v>
      </c>
      <c r="E31">
        <f>36290*(SIN(RADIANS(0.85)))</f>
        <v>538.35323986648268</v>
      </c>
      <c r="G31">
        <f>(28*(SIN(RADIANS(0.85))))*-1</f>
        <v>-0.41537312527587533</v>
      </c>
      <c r="J31">
        <f>((28*(SIN(RADIANS(0.85))))*-1)*1.2</f>
        <v>-0.49844775033105038</v>
      </c>
      <c r="K31">
        <f t="shared" si="0"/>
        <v>0</v>
      </c>
    </row>
    <row r="32" spans="1:11" x14ac:dyDescent="0.3">
      <c r="A32">
        <v>36318</v>
      </c>
      <c r="B32">
        <v>27</v>
      </c>
      <c r="D32">
        <f>28*(SIN(RADIANS(0.85)))</f>
        <v>0.41537312527587533</v>
      </c>
      <c r="E32">
        <f>36318*(SIN(RADIANS(0.85)))</f>
        <v>538.76861299175857</v>
      </c>
      <c r="G32">
        <f>(27*(SIN(RADIANS(0.85))))*-1</f>
        <v>-0.40053837080173693</v>
      </c>
      <c r="J32">
        <f>((27*(SIN(RADIANS(0.85))))*-1)*1.2</f>
        <v>-0.4806460449620843</v>
      </c>
      <c r="K32">
        <f t="shared" si="0"/>
        <v>0</v>
      </c>
    </row>
    <row r="33" spans="1:11" x14ac:dyDescent="0.3">
      <c r="A33">
        <v>36345</v>
      </c>
      <c r="B33">
        <v>23</v>
      </c>
      <c r="D33">
        <f>27*(SIN(RADIANS(0.85)))</f>
        <v>0.40053837080173693</v>
      </c>
      <c r="E33">
        <f>36345*(SIN(RADIANS(0.85)))</f>
        <v>539.16915136256034</v>
      </c>
      <c r="G33">
        <f>(23*(SIN(RADIANS(0.85))))*-1</f>
        <v>-0.34119935290518327</v>
      </c>
      <c r="J33">
        <f>((23*(SIN(RADIANS(0.85))))*-1)*1.2</f>
        <v>-0.40943922348621992</v>
      </c>
      <c r="K33">
        <f t="shared" si="0"/>
        <v>0</v>
      </c>
    </row>
    <row r="34" spans="1:11" x14ac:dyDescent="0.3">
      <c r="A34">
        <v>36368</v>
      </c>
      <c r="B34">
        <v>21</v>
      </c>
      <c r="D34">
        <f>23*(SIN(RADIANS(0.85)))</f>
        <v>0.34119935290518327</v>
      </c>
      <c r="E34">
        <f>36368*(SIN(RADIANS(0.85)))</f>
        <v>539.51035071546551</v>
      </c>
      <c r="G34">
        <f>(21*(SIN(RADIANS(0.85))))*-1</f>
        <v>-0.31152984395690647</v>
      </c>
      <c r="J34">
        <f>((21*(SIN(RADIANS(0.85))))*-1)*1.2</f>
        <v>-0.37383581274828775</v>
      </c>
      <c r="K34">
        <f t="shared" si="0"/>
        <v>0</v>
      </c>
    </row>
    <row r="35" spans="1:11" x14ac:dyDescent="0.3">
      <c r="A35">
        <v>36389</v>
      </c>
      <c r="B35">
        <v>21</v>
      </c>
      <c r="D35">
        <f>21*(SIN(RADIANS(0.85)))</f>
        <v>0.31152984395690647</v>
      </c>
      <c r="E35">
        <f>36389*(SIN(RADIANS(0.85)))</f>
        <v>539.82188055942242</v>
      </c>
      <c r="G35">
        <f>(21*(SIN(RADIANS(0.85))))*-1</f>
        <v>-0.31152984395690647</v>
      </c>
      <c r="J35">
        <f>((21*(SIN(RADIANS(0.85))))*-1)*1.2</f>
        <v>-0.37383581274828775</v>
      </c>
      <c r="K35">
        <f t="shared" si="0"/>
        <v>0</v>
      </c>
    </row>
    <row r="36" spans="1:11" x14ac:dyDescent="0.3">
      <c r="A36">
        <v>36410</v>
      </c>
      <c r="B36">
        <v>22</v>
      </c>
      <c r="D36">
        <f>21*(SIN(RADIANS(0.85)))</f>
        <v>0.31152984395690647</v>
      </c>
      <c r="E36">
        <f>36410*(SIN(RADIANS(0.85)))</f>
        <v>540.13341040337934</v>
      </c>
      <c r="G36">
        <f>(22*(SIN(RADIANS(0.85))))*-1</f>
        <v>-0.32636459843104487</v>
      </c>
      <c r="J36">
        <f>((22*(SIN(RADIANS(0.85))))*-1)*1.2</f>
        <v>-0.39163751811725384</v>
      </c>
      <c r="K36">
        <f t="shared" si="0"/>
        <v>0</v>
      </c>
    </row>
    <row r="37" spans="1:11" x14ac:dyDescent="0.3">
      <c r="A37">
        <v>36432</v>
      </c>
      <c r="B37">
        <v>21</v>
      </c>
      <c r="D37">
        <f>22*(SIN(RADIANS(0.85)))</f>
        <v>0.32636459843104487</v>
      </c>
      <c r="E37">
        <f>36432*(SIN(RADIANS(0.85)))</f>
        <v>540.45977500181039</v>
      </c>
      <c r="G37">
        <f>(21*(SIN(RADIANS(0.85))))*-1</f>
        <v>-0.31152984395690647</v>
      </c>
      <c r="J37">
        <f>((21*(SIN(RADIANS(0.85))))*-1)*1.2</f>
        <v>-0.37383581274828775</v>
      </c>
      <c r="K37">
        <f t="shared" si="0"/>
        <v>0</v>
      </c>
    </row>
    <row r="38" spans="1:11" x14ac:dyDescent="0.3">
      <c r="A38">
        <v>36453</v>
      </c>
      <c r="B38">
        <v>17</v>
      </c>
      <c r="D38">
        <f>21*(SIN(RADIANS(0.85)))</f>
        <v>0.31152984395690647</v>
      </c>
      <c r="E38">
        <f>36453*(SIN(RADIANS(0.85)))</f>
        <v>540.7713048457673</v>
      </c>
      <c r="G38">
        <f>(17*(SIN(RADIANS(0.85))))*-1</f>
        <v>-0.25219082606035287</v>
      </c>
      <c r="J38">
        <f>((17*(SIN(RADIANS(0.85))))*-1)*1.2</f>
        <v>-0.30262899127242343</v>
      </c>
      <c r="K38">
        <f t="shared" si="0"/>
        <v>0</v>
      </c>
    </row>
    <row r="39" spans="1:11" x14ac:dyDescent="0.3">
      <c r="A39">
        <v>36470</v>
      </c>
      <c r="B39">
        <v>15</v>
      </c>
      <c r="D39">
        <f>17*(SIN(RADIANS(0.85)))</f>
        <v>0.25219082606035287</v>
      </c>
      <c r="E39">
        <f>36470*(SIN(RADIANS(0.85)))</f>
        <v>541.02349567182762</v>
      </c>
      <c r="G39">
        <f>(15*(SIN(RADIANS(0.85))))*-1</f>
        <v>-0.22252131711207607</v>
      </c>
      <c r="J39">
        <f>((15*(SIN(RADIANS(0.85))))*-1)*1.2</f>
        <v>-0.26702558053449127</v>
      </c>
      <c r="K39">
        <f t="shared" si="0"/>
        <v>0</v>
      </c>
    </row>
    <row r="40" spans="1:11" x14ac:dyDescent="0.3">
      <c r="A40">
        <v>36485</v>
      </c>
      <c r="B40">
        <v>16</v>
      </c>
      <c r="D40">
        <f>15*(SIN(RADIANS(0.85)))</f>
        <v>0.22252131711207607</v>
      </c>
      <c r="E40">
        <f>36485*(SIN(RADIANS(0.85)))</f>
        <v>541.24601698893969</v>
      </c>
      <c r="G40">
        <f>(16*(SIN(RADIANS(0.85))))*-1</f>
        <v>-0.23735607158621447</v>
      </c>
      <c r="J40">
        <f>((16*(SIN(RADIANS(0.85))))*-1)*1.2</f>
        <v>-0.28482728590345735</v>
      </c>
      <c r="K40">
        <f t="shared" si="0"/>
        <v>0</v>
      </c>
    </row>
    <row r="41" spans="1:11" x14ac:dyDescent="0.3">
      <c r="A41">
        <v>36501</v>
      </c>
      <c r="B41">
        <v>15</v>
      </c>
      <c r="D41">
        <f>16*(SIN(RADIANS(0.85)))</f>
        <v>0.23735607158621447</v>
      </c>
      <c r="E41">
        <f>36501*(SIN(RADIANS(0.85)))</f>
        <v>541.48337306052588</v>
      </c>
      <c r="G41">
        <f>(15*(SIN(RADIANS(0.85))))*-1</f>
        <v>-0.22252131711207607</v>
      </c>
      <c r="J41">
        <f>((15*(SIN(RADIANS(0.85))))*-1)*1.2</f>
        <v>-0.26702558053449127</v>
      </c>
      <c r="K41">
        <f t="shared" si="0"/>
        <v>0</v>
      </c>
    </row>
    <row r="42" spans="1:11" x14ac:dyDescent="0.3">
      <c r="A42">
        <v>36516</v>
      </c>
      <c r="B42">
        <v>15</v>
      </c>
      <c r="D42">
        <f>15*(SIN(RADIANS(0.85)))</f>
        <v>0.22252131711207607</v>
      </c>
      <c r="E42">
        <f>36516*(SIN(RADIANS(0.85)))</f>
        <v>541.70589437763795</v>
      </c>
      <c r="G42">
        <f>(15*(SIN(RADIANS(0.85))))*-1</f>
        <v>-0.22252131711207607</v>
      </c>
      <c r="J42">
        <f>((15*(SIN(RADIANS(0.85))))*-1)*1.2</f>
        <v>-0.26702558053449127</v>
      </c>
      <c r="K42">
        <f t="shared" si="0"/>
        <v>0</v>
      </c>
    </row>
    <row r="43" spans="1:11" x14ac:dyDescent="0.3">
      <c r="A43">
        <v>36531</v>
      </c>
      <c r="B43">
        <v>12</v>
      </c>
      <c r="D43">
        <f>15*(SIN(RADIANS(0.85)))</f>
        <v>0.22252131711207607</v>
      </c>
      <c r="E43">
        <f>36531*(SIN(RADIANS(0.85)))</f>
        <v>541.92841569475002</v>
      </c>
      <c r="G43">
        <f>(12*(SIN(RADIANS(0.85))))*-1</f>
        <v>-0.17801705368966086</v>
      </c>
      <c r="J43">
        <f>((12*(SIN(RADIANS(0.85))))*-1)*1.2</f>
        <v>-0.21362046442759303</v>
      </c>
      <c r="K43">
        <f t="shared" si="0"/>
        <v>0</v>
      </c>
    </row>
    <row r="44" spans="1:11" x14ac:dyDescent="0.3">
      <c r="A44">
        <v>36543</v>
      </c>
      <c r="B44">
        <v>9</v>
      </c>
      <c r="D44">
        <f>12*(SIN(RADIANS(0.85)))</f>
        <v>0.17801705368966086</v>
      </c>
      <c r="E44">
        <f>36543*(SIN(RADIANS(0.85)))</f>
        <v>542.10643274843972</v>
      </c>
      <c r="G44">
        <f>(9*(SIN(RADIANS(0.85))))*-1</f>
        <v>-0.13351279026724563</v>
      </c>
      <c r="J44">
        <f>((9*(SIN(RADIANS(0.85))))*-1)*1.2</f>
        <v>-0.16021534832069476</v>
      </c>
      <c r="K44">
        <f t="shared" si="0"/>
        <v>0</v>
      </c>
    </row>
    <row r="45" spans="1:11" x14ac:dyDescent="0.3">
      <c r="A45">
        <v>36552</v>
      </c>
      <c r="B45">
        <v>9</v>
      </c>
      <c r="D45">
        <f>9*(SIN(RADIANS(0.85)))</f>
        <v>0.13351279026724563</v>
      </c>
      <c r="E45">
        <f>36552*(SIN(RADIANS(0.85)))</f>
        <v>542.23994553870693</v>
      </c>
      <c r="G45">
        <f>(9*(SIN(RADIANS(0.85))))*-1</f>
        <v>-0.13351279026724563</v>
      </c>
      <c r="J45">
        <f>((9*(SIN(RADIANS(0.85))))*-1)*1.2</f>
        <v>-0.16021534832069476</v>
      </c>
      <c r="K45">
        <f t="shared" si="0"/>
        <v>0</v>
      </c>
    </row>
    <row r="46" spans="1:11" x14ac:dyDescent="0.3">
      <c r="A46">
        <v>36561</v>
      </c>
      <c r="B46">
        <v>9</v>
      </c>
      <c r="D46">
        <f>9*(SIN(RADIANS(0.85)))</f>
        <v>0.13351279026724563</v>
      </c>
      <c r="E46">
        <f>36561*(SIN(RADIANS(0.85)))</f>
        <v>542.37345832897415</v>
      </c>
      <c r="G46">
        <f>(9*(SIN(RADIANS(0.85))))*-1</f>
        <v>-0.13351279026724563</v>
      </c>
      <c r="J46">
        <f>((9*(SIN(RADIANS(0.85))))*-1)*1.2</f>
        <v>-0.16021534832069476</v>
      </c>
      <c r="K46">
        <f t="shared" si="0"/>
        <v>0</v>
      </c>
    </row>
    <row r="47" spans="1:11" x14ac:dyDescent="0.3">
      <c r="A47">
        <v>36570</v>
      </c>
      <c r="B47">
        <v>9</v>
      </c>
      <c r="D47">
        <f>9*(SIN(RADIANS(0.85)))</f>
        <v>0.13351279026724563</v>
      </c>
      <c r="E47">
        <f>36570*(SIN(RADIANS(0.85)))</f>
        <v>542.50697111924148</v>
      </c>
      <c r="G47">
        <f>(9*(SIN(RADIANS(0.85))))*-1</f>
        <v>-0.13351279026724563</v>
      </c>
      <c r="J47">
        <f>((9*(SIN(RADIANS(0.85))))*-1)*1.2</f>
        <v>-0.16021534832069476</v>
      </c>
      <c r="K47">
        <f t="shared" si="0"/>
        <v>0</v>
      </c>
    </row>
    <row r="48" spans="1:11" x14ac:dyDescent="0.3">
      <c r="A48">
        <v>36579</v>
      </c>
      <c r="B48">
        <v>7</v>
      </c>
      <c r="D48">
        <f>9*(SIN(RADIANS(0.85)))</f>
        <v>0.13351279026724563</v>
      </c>
      <c r="E48">
        <f>36579*(SIN(RADIANS(0.85)))</f>
        <v>542.6404839095087</v>
      </c>
      <c r="G48">
        <f>(7*(SIN(RADIANS(0.85))))*-1</f>
        <v>-0.10384328131896883</v>
      </c>
      <c r="J48">
        <f>((7*(SIN(RADIANS(0.85))))*-1)*1.2</f>
        <v>-0.12461193758276259</v>
      </c>
      <c r="K48">
        <f t="shared" si="0"/>
        <v>0</v>
      </c>
    </row>
    <row r="49" spans="1:11" x14ac:dyDescent="0.3">
      <c r="A49">
        <v>36586</v>
      </c>
      <c r="B49">
        <v>3</v>
      </c>
      <c r="D49">
        <f>7*(SIN(RADIANS(0.85)))</f>
        <v>0.10384328131896883</v>
      </c>
      <c r="E49">
        <f>36586*(SIN(RADIANS(0.85)))</f>
        <v>542.74432719082768</v>
      </c>
      <c r="G49">
        <f>(3*(SIN(RADIANS(0.85))))*-1</f>
        <v>-4.4504263422415216E-2</v>
      </c>
      <c r="J49">
        <f>((3*(SIN(RADIANS(0.85))))*-1)*1.2</f>
        <v>-5.3405116106898257E-2</v>
      </c>
      <c r="K49">
        <f t="shared" si="0"/>
        <v>0</v>
      </c>
    </row>
    <row r="50" spans="1:11" x14ac:dyDescent="0.3">
      <c r="A50">
        <v>36589</v>
      </c>
      <c r="B50">
        <v>2</v>
      </c>
      <c r="D50">
        <f>3*(SIN(RADIANS(0.85)))</f>
        <v>4.4504263422415216E-2</v>
      </c>
      <c r="E50">
        <f>36589*(SIN(RADIANS(0.85)))</f>
        <v>542.78883145425004</v>
      </c>
      <c r="G50">
        <f>(2*(SIN(RADIANS(0.85))))*-1</f>
        <v>-2.9669508948276808E-2</v>
      </c>
      <c r="J50">
        <f>((2*(SIN(RADIANS(0.85))))*-1)*1.2</f>
        <v>-3.5603410737932169E-2</v>
      </c>
      <c r="K50">
        <f t="shared" si="0"/>
        <v>0</v>
      </c>
    </row>
    <row r="51" spans="1:11" x14ac:dyDescent="0.3">
      <c r="A51">
        <v>36592</v>
      </c>
      <c r="B51">
        <v>3</v>
      </c>
      <c r="D51">
        <f>2*(SIN(RADIANS(0.85)))</f>
        <v>2.9669508948276808E-2</v>
      </c>
      <c r="E51">
        <f>36592*(SIN(RADIANS(0.85)))</f>
        <v>542.83333571767253</v>
      </c>
      <c r="G51">
        <f>(3*(SIN(RADIANS(0.85))))*-1</f>
        <v>-4.4504263422415216E-2</v>
      </c>
      <c r="J51">
        <f>((3*(SIN(RADIANS(0.85))))*-1)*1.2</f>
        <v>-5.3405116106898257E-2</v>
      </c>
      <c r="K51">
        <f t="shared" si="0"/>
        <v>0</v>
      </c>
    </row>
    <row r="52" spans="1:11" x14ac:dyDescent="0.3">
      <c r="A52">
        <v>36594</v>
      </c>
      <c r="B52">
        <v>3</v>
      </c>
      <c r="D52">
        <f>3*(SIN(RADIANS(0.85)))</f>
        <v>4.4504263422415216E-2</v>
      </c>
      <c r="E52">
        <f>36594*(SIN(RADIANS(0.85)))</f>
        <v>542.86300522662077</v>
      </c>
      <c r="G52">
        <f>(3*(SIN(RADIANS(0.85))))*-1</f>
        <v>-4.4504263422415216E-2</v>
      </c>
      <c r="J52">
        <f>((3*(SIN(RADIANS(0.85))))*-1)*1.2</f>
        <v>-5.3405116106898257E-2</v>
      </c>
      <c r="K52">
        <f t="shared" si="0"/>
        <v>0</v>
      </c>
    </row>
    <row r="53" spans="1:11" x14ac:dyDescent="0.3">
      <c r="A53">
        <v>36597</v>
      </c>
      <c r="B53">
        <v>1</v>
      </c>
      <c r="D53">
        <f>3*(SIN(RADIANS(0.85)))</f>
        <v>4.4504263422415216E-2</v>
      </c>
      <c r="E53">
        <f>36597*(SIN(RADIANS(0.85)))</f>
        <v>542.90750949004314</v>
      </c>
      <c r="G53">
        <f>(1*(SIN(RADIANS(0.85))))*-1</f>
        <v>-1.4834754474138404E-2</v>
      </c>
      <c r="J53">
        <f>((1*(SIN(RADIANS(0.85))))*-1)*1.2</f>
        <v>-1.7801705368966084E-2</v>
      </c>
      <c r="K53">
        <f t="shared" si="0"/>
        <v>0</v>
      </c>
    </row>
    <row r="54" spans="1:11" x14ac:dyDescent="0.3">
      <c r="A54">
        <v>36598</v>
      </c>
      <c r="B54">
        <v>-2</v>
      </c>
      <c r="D54">
        <f>1*(SIN(RADIANS(0.85)))</f>
        <v>1.4834754474138404E-2</v>
      </c>
      <c r="E54">
        <f>36598*(SIN(RADIANS(0.85)))</f>
        <v>542.92234424451726</v>
      </c>
      <c r="G54">
        <f>(-2*(SIN(RADIANS(0.85))))*-1</f>
        <v>2.9669508948276808E-2</v>
      </c>
      <c r="J54">
        <f>((-2*(SIN(RADIANS(0.85))))*-1)*1.2</f>
        <v>3.5603410737932169E-2</v>
      </c>
      <c r="K54">
        <f t="shared" si="0"/>
        <v>0</v>
      </c>
    </row>
    <row r="55" spans="1:11" x14ac:dyDescent="0.3">
      <c r="A55">
        <v>36596</v>
      </c>
      <c r="B55">
        <v>-4</v>
      </c>
      <c r="D55">
        <f>-2*(SIN(RADIANS(0.85)))</f>
        <v>-2.9669508948276808E-2</v>
      </c>
      <c r="E55">
        <f>36596*(SIN(RADIANS(0.85)))</f>
        <v>542.89267473556902</v>
      </c>
      <c r="G55">
        <f>(-4*(SIN(RADIANS(0.85))))*-1</f>
        <v>5.9339017896553617E-2</v>
      </c>
      <c r="J55">
        <f>((-4*(SIN(RADIANS(0.85))))*-1)*1.2</f>
        <v>7.1206821475864338E-2</v>
      </c>
      <c r="K55">
        <f t="shared" si="0"/>
        <v>0</v>
      </c>
    </row>
    <row r="56" spans="1:11" x14ac:dyDescent="0.3">
      <c r="A56">
        <v>36592</v>
      </c>
      <c r="B56">
        <v>-3</v>
      </c>
      <c r="D56">
        <f>-4*(SIN(RADIANS(0.85)))</f>
        <v>-5.9339017896553617E-2</v>
      </c>
      <c r="E56">
        <f>36592*(SIN(RADIANS(0.85)))</f>
        <v>542.83333571767253</v>
      </c>
      <c r="G56">
        <f>(-3*(SIN(RADIANS(0.85))))*-1</f>
        <v>4.4504263422415216E-2</v>
      </c>
      <c r="J56">
        <f>((-3*(SIN(RADIANS(0.85))))*-1)*1.2</f>
        <v>5.3405116106898257E-2</v>
      </c>
      <c r="K56">
        <f t="shared" si="0"/>
        <v>0</v>
      </c>
    </row>
    <row r="57" spans="1:11" x14ac:dyDescent="0.3">
      <c r="A57">
        <v>36589</v>
      </c>
      <c r="B57">
        <v>-4</v>
      </c>
      <c r="D57">
        <f>-3*(SIN(RADIANS(0.85)))</f>
        <v>-4.4504263422415216E-2</v>
      </c>
      <c r="E57">
        <f>36589*(SIN(RADIANS(0.85)))</f>
        <v>542.78883145425004</v>
      </c>
      <c r="G57">
        <f>(-4*(SIN(RADIANS(0.85))))*-1</f>
        <v>5.9339017896553617E-2</v>
      </c>
      <c r="J57">
        <f>((-4*(SIN(RADIANS(0.85))))*-1)*1.2</f>
        <v>7.1206821475864338E-2</v>
      </c>
      <c r="K57">
        <f t="shared" si="0"/>
        <v>0</v>
      </c>
    </row>
    <row r="58" spans="1:11" x14ac:dyDescent="0.3">
      <c r="A58">
        <v>36585</v>
      </c>
      <c r="B58">
        <v>-4</v>
      </c>
      <c r="D58">
        <f>-4*(SIN(RADIANS(0.85)))</f>
        <v>-5.9339017896553617E-2</v>
      </c>
      <c r="E58">
        <f>36585*(SIN(RADIANS(0.85)))</f>
        <v>542.72949243635355</v>
      </c>
      <c r="G58">
        <f>(-4*(SIN(RADIANS(0.85))))*-1</f>
        <v>5.9339017896553617E-2</v>
      </c>
      <c r="J58">
        <f>((-4*(SIN(RADIANS(0.85))))*-1)*1.2</f>
        <v>7.1206821475864338E-2</v>
      </c>
      <c r="K58">
        <f t="shared" si="0"/>
        <v>0</v>
      </c>
    </row>
    <row r="59" spans="1:11" x14ac:dyDescent="0.3">
      <c r="A59">
        <v>36581</v>
      </c>
      <c r="B59">
        <v>-8</v>
      </c>
      <c r="D59">
        <f>-4*(SIN(RADIANS(0.85)))</f>
        <v>-5.9339017896553617E-2</v>
      </c>
      <c r="E59">
        <f>36581*(SIN(RADIANS(0.85)))</f>
        <v>542.67015341845695</v>
      </c>
      <c r="G59">
        <f>(-8*(SIN(RADIANS(0.85))))*-1</f>
        <v>0.11867803579310723</v>
      </c>
      <c r="J59">
        <f>((-8*(SIN(RADIANS(0.85))))*-1)*1.2</f>
        <v>0.14241364295172868</v>
      </c>
      <c r="K59">
        <f t="shared" si="0"/>
        <v>0</v>
      </c>
    </row>
    <row r="60" spans="1:11" x14ac:dyDescent="0.3">
      <c r="A60">
        <v>36573</v>
      </c>
      <c r="B60">
        <v>-10</v>
      </c>
      <c r="D60">
        <f>-8*(SIN(RADIANS(0.85)))</f>
        <v>-0.11867803579310723</v>
      </c>
      <c r="E60">
        <f>36573*(SIN(RADIANS(0.85)))</f>
        <v>542.55147538266385</v>
      </c>
      <c r="G60">
        <f>(-10*(SIN(RADIANS(0.85))))*-1</f>
        <v>0.14834754474138404</v>
      </c>
      <c r="J60">
        <f>((-10*(SIN(RADIANS(0.85))))*-1)*1.2</f>
        <v>0.17801705368966084</v>
      </c>
      <c r="K60">
        <f t="shared" si="0"/>
        <v>0</v>
      </c>
    </row>
    <row r="61" spans="1:11" x14ac:dyDescent="0.3">
      <c r="A61">
        <v>36563</v>
      </c>
      <c r="B61">
        <v>-10</v>
      </c>
      <c r="D61">
        <f>-10*(SIN(RADIANS(0.85)))</f>
        <v>-0.14834754474138404</v>
      </c>
      <c r="E61">
        <f>36563*(SIN(RADIANS(0.85)))</f>
        <v>542.40312783792251</v>
      </c>
      <c r="G61">
        <f>(-10*(SIN(RADIANS(0.85))))*-1</f>
        <v>0.14834754474138404</v>
      </c>
      <c r="J61">
        <f>((-10*(SIN(RADIANS(0.85))))*-1)*1.2</f>
        <v>0.17801705368966084</v>
      </c>
      <c r="K61">
        <f t="shared" si="0"/>
        <v>0</v>
      </c>
    </row>
    <row r="62" spans="1:11" x14ac:dyDescent="0.3">
      <c r="A62">
        <v>36553</v>
      </c>
      <c r="B62">
        <v>-9</v>
      </c>
      <c r="D62">
        <f>-10*(SIN(RADIANS(0.85)))</f>
        <v>-0.14834754474138404</v>
      </c>
      <c r="E62">
        <f>36553*(SIN(RADIANS(0.85)))</f>
        <v>542.25478029318106</v>
      </c>
      <c r="G62">
        <f>(-9*(SIN(RADIANS(0.85))))*-1</f>
        <v>0.13351279026724563</v>
      </c>
      <c r="J62">
        <f>((-9*(SIN(RADIANS(0.85))))*-1)*1.2</f>
        <v>0.16021534832069476</v>
      </c>
      <c r="K62">
        <f t="shared" si="0"/>
        <v>0</v>
      </c>
    </row>
    <row r="63" spans="1:11" x14ac:dyDescent="0.3">
      <c r="A63">
        <v>36544</v>
      </c>
      <c r="B63">
        <v>-11</v>
      </c>
      <c r="D63">
        <f>-9*(SIN(RADIANS(0.85)))</f>
        <v>-0.13351279026724563</v>
      </c>
      <c r="E63">
        <f>36544*(SIN(RADIANS(0.85)))</f>
        <v>542.12126750291384</v>
      </c>
      <c r="G63">
        <f>(-11*(SIN(RADIANS(0.85))))*-1</f>
        <v>0.16318229921552244</v>
      </c>
      <c r="J63">
        <f>((-11*(SIN(RADIANS(0.85))))*-1)*1.2</f>
        <v>0.19581875905862692</v>
      </c>
      <c r="K63">
        <f t="shared" si="0"/>
        <v>0</v>
      </c>
    </row>
    <row r="64" spans="1:11" x14ac:dyDescent="0.3">
      <c r="A64">
        <v>36533</v>
      </c>
      <c r="B64">
        <v>-14</v>
      </c>
      <c r="D64">
        <f>-11*(SIN(RADIANS(0.85)))</f>
        <v>-0.16318229921552244</v>
      </c>
      <c r="E64">
        <f>36533*(SIN(RADIANS(0.85)))</f>
        <v>541.95808520369837</v>
      </c>
      <c r="G64">
        <f>(-14*(SIN(RADIANS(0.85))))*-1</f>
        <v>0.20768656263793767</v>
      </c>
      <c r="J64">
        <f>((-14*(SIN(RADIANS(0.85))))*-1)*1.2</f>
        <v>0.24922387516552519</v>
      </c>
      <c r="K64">
        <f t="shared" si="0"/>
        <v>0</v>
      </c>
    </row>
    <row r="65" spans="1:11" x14ac:dyDescent="0.3">
      <c r="A65">
        <v>36519</v>
      </c>
      <c r="B65">
        <v>-16</v>
      </c>
      <c r="D65">
        <f>-14*(SIN(RADIANS(0.85)))</f>
        <v>-0.20768656263793767</v>
      </c>
      <c r="E65">
        <f>36519*(SIN(RADIANS(0.85)))</f>
        <v>541.75039864106043</v>
      </c>
      <c r="G65">
        <f>(-16*(SIN(RADIANS(0.85))))*-1</f>
        <v>0.23735607158621447</v>
      </c>
      <c r="J65">
        <f>((-16*(SIN(RADIANS(0.85))))*-1)*1.2</f>
        <v>0.28482728590345735</v>
      </c>
      <c r="K65">
        <f t="shared" si="0"/>
        <v>0</v>
      </c>
    </row>
    <row r="66" spans="1:11" x14ac:dyDescent="0.3">
      <c r="A66">
        <v>36503</v>
      </c>
      <c r="B66">
        <v>-16</v>
      </c>
      <c r="D66">
        <f>-16*(SIN(RADIANS(0.85)))</f>
        <v>-0.23735607158621447</v>
      </c>
      <c r="E66">
        <f>36503*(SIN(RADIANS(0.85)))</f>
        <v>541.51304256947412</v>
      </c>
      <c r="G66">
        <f>(-16*(SIN(RADIANS(0.85))))*-1</f>
        <v>0.23735607158621447</v>
      </c>
      <c r="J66">
        <f>((-16*(SIN(RADIANS(0.85))))*-1)*1.2</f>
        <v>0.28482728590345735</v>
      </c>
      <c r="K66">
        <f t="shared" si="0"/>
        <v>0</v>
      </c>
    </row>
    <row r="67" spans="1:11" x14ac:dyDescent="0.3">
      <c r="A67">
        <v>36487</v>
      </c>
      <c r="B67">
        <v>-16</v>
      </c>
      <c r="D67">
        <f>-16*(SIN(RADIANS(0.85)))</f>
        <v>-0.23735607158621447</v>
      </c>
      <c r="E67">
        <f>36487*(SIN(RADIANS(0.85)))</f>
        <v>541.27568649788793</v>
      </c>
      <c r="G67">
        <f>(-16*(SIN(RADIANS(0.85))))*-1</f>
        <v>0.23735607158621447</v>
      </c>
      <c r="J67">
        <f>((-16*(SIN(RADIANS(0.85))))*-1)*1.2</f>
        <v>0.28482728590345735</v>
      </c>
      <c r="K67">
        <f t="shared" ref="K67:K130" si="1">ROUND(J67, 0)</f>
        <v>0</v>
      </c>
    </row>
    <row r="68" spans="1:11" x14ac:dyDescent="0.3">
      <c r="A68">
        <v>36471</v>
      </c>
      <c r="B68">
        <v>-16</v>
      </c>
      <c r="D68">
        <f>-16*(SIN(RADIANS(0.85)))</f>
        <v>-0.23735607158621447</v>
      </c>
      <c r="E68">
        <f>36471*(SIN(RADIANS(0.85)))</f>
        <v>541.03833042630174</v>
      </c>
      <c r="G68">
        <f>(-16*(SIN(RADIANS(0.85))))*-1</f>
        <v>0.23735607158621447</v>
      </c>
      <c r="J68">
        <f>((-16*(SIN(RADIANS(0.85))))*-1)*1.2</f>
        <v>0.28482728590345735</v>
      </c>
      <c r="K68">
        <f t="shared" si="1"/>
        <v>0</v>
      </c>
    </row>
    <row r="69" spans="1:11" x14ac:dyDescent="0.3">
      <c r="A69">
        <v>36455</v>
      </c>
      <c r="B69">
        <v>-19</v>
      </c>
      <c r="D69">
        <f>-16*(SIN(RADIANS(0.85)))</f>
        <v>-0.23735607158621447</v>
      </c>
      <c r="E69">
        <f>36455*(SIN(RADIANS(0.85)))</f>
        <v>540.80097435471555</v>
      </c>
      <c r="G69">
        <f>(-19*(SIN(RADIANS(0.85))))*-1</f>
        <v>0.28186033500862967</v>
      </c>
      <c r="J69">
        <f>((-19*(SIN(RADIANS(0.85))))*-1)*1.2</f>
        <v>0.33823240201035559</v>
      </c>
      <c r="K69">
        <f t="shared" si="1"/>
        <v>0</v>
      </c>
    </row>
    <row r="70" spans="1:11" x14ac:dyDescent="0.3">
      <c r="A70">
        <v>36436</v>
      </c>
      <c r="B70">
        <v>-22</v>
      </c>
      <c r="D70">
        <f>-19*(SIN(RADIANS(0.85)))</f>
        <v>-0.28186033500862967</v>
      </c>
      <c r="E70">
        <f>36436*(SIN(RADIANS(0.85)))</f>
        <v>540.51911401970688</v>
      </c>
      <c r="G70">
        <f>(-22*(SIN(RADIANS(0.85))))*-1</f>
        <v>0.32636459843104487</v>
      </c>
      <c r="J70">
        <f>((-22*(SIN(RADIANS(0.85))))*-1)*1.2</f>
        <v>0.39163751811725384</v>
      </c>
      <c r="K70">
        <f t="shared" si="1"/>
        <v>0</v>
      </c>
    </row>
    <row r="71" spans="1:11" x14ac:dyDescent="0.3">
      <c r="A71">
        <v>36414</v>
      </c>
      <c r="B71">
        <v>-22</v>
      </c>
      <c r="D71">
        <f>-22*(SIN(RADIANS(0.85)))</f>
        <v>-0.32636459843104487</v>
      </c>
      <c r="E71">
        <f>36414*(SIN(RADIANS(0.85)))</f>
        <v>540.19274942127583</v>
      </c>
      <c r="G71">
        <f>(-22*(SIN(RADIANS(0.85))))*-1</f>
        <v>0.32636459843104487</v>
      </c>
      <c r="J71">
        <f>((-22*(SIN(RADIANS(0.85))))*-1)*1.2</f>
        <v>0.39163751811725384</v>
      </c>
      <c r="K71">
        <f t="shared" si="1"/>
        <v>0</v>
      </c>
    </row>
    <row r="72" spans="1:11" x14ac:dyDescent="0.3">
      <c r="A72">
        <v>36392</v>
      </c>
      <c r="B72">
        <v>-22</v>
      </c>
      <c r="D72">
        <f>-22*(SIN(RADIANS(0.85)))</f>
        <v>-0.32636459843104487</v>
      </c>
      <c r="E72">
        <f>36392*(SIN(RADIANS(0.85)))</f>
        <v>539.86638482284479</v>
      </c>
      <c r="G72">
        <f>(-22*(SIN(RADIANS(0.85))))*-1</f>
        <v>0.32636459843104487</v>
      </c>
      <c r="J72">
        <f>((-22*(SIN(RADIANS(0.85))))*-1)*1.2</f>
        <v>0.39163751811725384</v>
      </c>
      <c r="K72">
        <f t="shared" si="1"/>
        <v>0</v>
      </c>
    </row>
    <row r="73" spans="1:11" x14ac:dyDescent="0.3">
      <c r="A73">
        <v>36370</v>
      </c>
      <c r="B73">
        <v>-22</v>
      </c>
      <c r="D73">
        <f>-22*(SIN(RADIANS(0.85)))</f>
        <v>-0.32636459843104487</v>
      </c>
      <c r="E73">
        <f>36370*(SIN(RADIANS(0.85)))</f>
        <v>539.54002022441375</v>
      </c>
      <c r="G73">
        <f>(-22*(SIN(RADIANS(0.85))))*-1</f>
        <v>0.32636459843104487</v>
      </c>
      <c r="J73">
        <f>((-22*(SIN(RADIANS(0.85))))*-1)*1.2</f>
        <v>0.39163751811725384</v>
      </c>
      <c r="K73">
        <f t="shared" si="1"/>
        <v>0</v>
      </c>
    </row>
    <row r="74" spans="1:11" x14ac:dyDescent="0.3">
      <c r="A74">
        <v>36348</v>
      </c>
      <c r="B74">
        <v>-25</v>
      </c>
      <c r="D74">
        <f>-22*(SIN(RADIANS(0.85)))</f>
        <v>-0.32636459843104487</v>
      </c>
      <c r="E74">
        <f>36348*(SIN(RADIANS(0.85)))</f>
        <v>539.21365562598271</v>
      </c>
      <c r="G74">
        <f>(-25*(SIN(RADIANS(0.85))))*-1</f>
        <v>0.37086886185346013</v>
      </c>
      <c r="J74">
        <f>((-25*(SIN(RADIANS(0.85))))*-1)*1.2</f>
        <v>0.44504263422415213</v>
      </c>
      <c r="K74">
        <f t="shared" si="1"/>
        <v>0</v>
      </c>
    </row>
    <row r="75" spans="1:11" x14ac:dyDescent="0.3">
      <c r="A75">
        <v>36323</v>
      </c>
      <c r="B75">
        <v>-28</v>
      </c>
      <c r="D75">
        <f>-25*(SIN(RADIANS(0.85)))</f>
        <v>-0.37086886185346013</v>
      </c>
      <c r="E75">
        <f>36323*(SIN(RADIANS(0.85)))</f>
        <v>538.8427867641293</v>
      </c>
      <c r="G75">
        <f>(-28*(SIN(RADIANS(0.85))))*-1</f>
        <v>0.41537312527587533</v>
      </c>
      <c r="J75">
        <f>((-28*(SIN(RADIANS(0.85))))*-1)*1.2</f>
        <v>0.49844775033105038</v>
      </c>
      <c r="K75">
        <f t="shared" si="1"/>
        <v>0</v>
      </c>
    </row>
    <row r="76" spans="1:11" x14ac:dyDescent="0.3">
      <c r="A76">
        <v>36295</v>
      </c>
      <c r="B76">
        <v>-28</v>
      </c>
      <c r="D76">
        <f>-28*(SIN(RADIANS(0.85)))</f>
        <v>-0.41537312527587533</v>
      </c>
      <c r="E76">
        <f>36295*(SIN(RADIANS(0.85)))</f>
        <v>538.42741363885341</v>
      </c>
      <c r="G76">
        <f>(-28*(SIN(RADIANS(0.85))))*-1</f>
        <v>0.41537312527587533</v>
      </c>
      <c r="J76">
        <f>((-28*(SIN(RADIANS(0.85))))*-1)*1.2</f>
        <v>0.49844775033105038</v>
      </c>
      <c r="K76">
        <f t="shared" si="1"/>
        <v>0</v>
      </c>
    </row>
    <row r="77" spans="1:11" x14ac:dyDescent="0.3">
      <c r="A77">
        <v>36266</v>
      </c>
      <c r="B77">
        <v>-29</v>
      </c>
      <c r="D77">
        <f>-28*(SIN(RADIANS(0.85)))</f>
        <v>-0.41537312527587533</v>
      </c>
      <c r="E77">
        <f>36266*(SIN(RADIANS(0.85)))</f>
        <v>537.99720575910339</v>
      </c>
      <c r="G77">
        <f>(-29*(SIN(RADIANS(0.85))))*-1</f>
        <v>0.43020787975001373</v>
      </c>
      <c r="J77">
        <f>((-29*(SIN(RADIANS(0.85))))*-1)*1.2</f>
        <v>0.51624945570001646</v>
      </c>
      <c r="K77">
        <f t="shared" si="1"/>
        <v>1</v>
      </c>
    </row>
    <row r="78" spans="1:11" x14ac:dyDescent="0.3">
      <c r="A78">
        <v>36238</v>
      </c>
      <c r="B78">
        <v>-29</v>
      </c>
      <c r="D78">
        <f>-29*(SIN(RADIANS(0.85)))</f>
        <v>-0.43020787975001373</v>
      </c>
      <c r="E78">
        <f>36238*(SIN(RADIANS(0.85)))</f>
        <v>537.5818326338275</v>
      </c>
      <c r="G78">
        <f>(-29*(SIN(RADIANS(0.85))))*-1</f>
        <v>0.43020787975001373</v>
      </c>
      <c r="J78">
        <f>((-29*(SIN(RADIANS(0.85))))*-1)*1.2</f>
        <v>0.51624945570001646</v>
      </c>
      <c r="K78">
        <f t="shared" si="1"/>
        <v>1</v>
      </c>
    </row>
    <row r="79" spans="1:11" x14ac:dyDescent="0.3">
      <c r="A79">
        <v>36209</v>
      </c>
      <c r="B79">
        <v>-31</v>
      </c>
      <c r="D79">
        <f>-29*(SIN(RADIANS(0.85)))</f>
        <v>-0.43020787975001373</v>
      </c>
      <c r="E79">
        <f>36209*(SIN(RADIANS(0.85)))</f>
        <v>537.15162475407749</v>
      </c>
      <c r="G79">
        <f>(-31*(SIN(RADIANS(0.85))))*-1</f>
        <v>0.45987738869829053</v>
      </c>
      <c r="J79">
        <f>((-31*(SIN(RADIANS(0.85))))*-1)*1.2</f>
        <v>0.55185286643794862</v>
      </c>
      <c r="K79">
        <f t="shared" si="1"/>
        <v>1</v>
      </c>
    </row>
    <row r="80" spans="1:11" x14ac:dyDescent="0.3">
      <c r="A80">
        <v>36178</v>
      </c>
      <c r="B80">
        <v>-33</v>
      </c>
      <c r="D80">
        <f>-31*(SIN(RADIANS(0.85)))</f>
        <v>-0.45987738869829053</v>
      </c>
      <c r="E80">
        <f>36178*(SIN(RADIANS(0.85)))</f>
        <v>536.69174736537923</v>
      </c>
      <c r="G80">
        <f>(-33*(SIN(RADIANS(0.85))))*-1</f>
        <v>0.48954689764656734</v>
      </c>
      <c r="J80">
        <f>((-33*(SIN(RADIANS(0.85))))*-1)*1.2</f>
        <v>0.58745627717588078</v>
      </c>
      <c r="K80">
        <f t="shared" si="1"/>
        <v>1</v>
      </c>
    </row>
    <row r="81" spans="1:11" x14ac:dyDescent="0.3">
      <c r="A81">
        <v>36145</v>
      </c>
      <c r="B81">
        <v>-34</v>
      </c>
      <c r="D81">
        <f>-33*(SIN(RADIANS(0.85)))</f>
        <v>-0.48954689764656734</v>
      </c>
      <c r="E81">
        <f>36145*(SIN(RADIANS(0.85)))</f>
        <v>536.20220046773261</v>
      </c>
      <c r="G81">
        <f>(-34*(SIN(RADIANS(0.85))))*-1</f>
        <v>0.50438165212070574</v>
      </c>
      <c r="J81">
        <f>((-34*(SIN(RADIANS(0.85))))*-1)*1.2</f>
        <v>0.60525798254484686</v>
      </c>
      <c r="K81">
        <f t="shared" si="1"/>
        <v>1</v>
      </c>
    </row>
    <row r="82" spans="1:11" x14ac:dyDescent="0.3">
      <c r="A82">
        <v>36111</v>
      </c>
      <c r="B82">
        <v>-35</v>
      </c>
      <c r="D82">
        <f>-34*(SIN(RADIANS(0.85)))</f>
        <v>-0.50438165212070574</v>
      </c>
      <c r="E82">
        <f>36111*(SIN(RADIANS(0.85)))</f>
        <v>535.69781881561187</v>
      </c>
      <c r="G82">
        <f>(-35*(SIN(RADIANS(0.85))))*-1</f>
        <v>0.51921640659484414</v>
      </c>
      <c r="J82">
        <f>((-35*(SIN(RADIANS(0.85))))*-1)*1.2</f>
        <v>0.62305968791381294</v>
      </c>
      <c r="K82">
        <f t="shared" si="1"/>
        <v>1</v>
      </c>
    </row>
    <row r="83" spans="1:11" x14ac:dyDescent="0.3">
      <c r="A83">
        <v>36076</v>
      </c>
      <c r="B83">
        <v>-35</v>
      </c>
      <c r="D83">
        <f>-35*(SIN(RADIANS(0.85)))</f>
        <v>-0.51921640659484414</v>
      </c>
      <c r="E83">
        <f>36076*(SIN(RADIANS(0.85)))</f>
        <v>535.17860240901712</v>
      </c>
      <c r="G83">
        <f>(-35*(SIN(RADIANS(0.85))))*-1</f>
        <v>0.51921640659484414</v>
      </c>
      <c r="J83">
        <f>((-35*(SIN(RADIANS(0.85))))*-1)*1.2</f>
        <v>0.62305968791381294</v>
      </c>
      <c r="K83">
        <f t="shared" si="1"/>
        <v>1</v>
      </c>
    </row>
    <row r="84" spans="1:11" x14ac:dyDescent="0.3">
      <c r="A84">
        <v>36041</v>
      </c>
      <c r="B84">
        <v>-34</v>
      </c>
      <c r="D84">
        <f>-35*(SIN(RADIANS(0.85)))</f>
        <v>-0.51921640659484414</v>
      </c>
      <c r="E84">
        <f>36041*(SIN(RADIANS(0.85)))</f>
        <v>534.65938600242225</v>
      </c>
      <c r="G84">
        <f>(-34*(SIN(RADIANS(0.85))))*-1</f>
        <v>0.50438165212070574</v>
      </c>
      <c r="J84">
        <f>((-34*(SIN(RADIANS(0.85))))*-1)*1.2</f>
        <v>0.60525798254484686</v>
      </c>
      <c r="K84">
        <f t="shared" si="1"/>
        <v>1</v>
      </c>
    </row>
    <row r="85" spans="1:11" x14ac:dyDescent="0.3">
      <c r="A85">
        <v>36007</v>
      </c>
      <c r="B85">
        <v>-35</v>
      </c>
      <c r="D85">
        <f>-34*(SIN(RADIANS(0.85)))</f>
        <v>-0.50438165212070574</v>
      </c>
      <c r="E85">
        <f>36007*(SIN(RADIANS(0.85)))</f>
        <v>534.15500435030151</v>
      </c>
      <c r="G85">
        <f>(-35*(SIN(RADIANS(0.85))))*-1</f>
        <v>0.51921640659484414</v>
      </c>
      <c r="J85">
        <f>((-35*(SIN(RADIANS(0.85))))*-1)*1.2</f>
        <v>0.62305968791381294</v>
      </c>
      <c r="K85">
        <f t="shared" si="1"/>
        <v>1</v>
      </c>
    </row>
    <row r="86" spans="1:11" x14ac:dyDescent="0.3">
      <c r="A86">
        <v>35972</v>
      </c>
      <c r="B86">
        <v>-32</v>
      </c>
      <c r="D86">
        <f>-35*(SIN(RADIANS(0.85)))</f>
        <v>-0.51921640659484414</v>
      </c>
      <c r="E86">
        <f>35972*(SIN(RADIANS(0.85)))</f>
        <v>533.63578794370665</v>
      </c>
      <c r="G86">
        <f>(-32*(SIN(RADIANS(0.85))))*-1</f>
        <v>0.47471214317242894</v>
      </c>
      <c r="J86">
        <f>((-32*(SIN(RADIANS(0.85))))*-1)*1.2</f>
        <v>0.5696545718069147</v>
      </c>
      <c r="K86">
        <f t="shared" si="1"/>
        <v>1</v>
      </c>
    </row>
    <row r="87" spans="1:11" x14ac:dyDescent="0.3">
      <c r="A87">
        <v>35940</v>
      </c>
      <c r="B87">
        <v>-28</v>
      </c>
      <c r="D87">
        <f>-32*(SIN(RADIANS(0.85)))</f>
        <v>-0.47471214317242894</v>
      </c>
      <c r="E87">
        <f>35940*(SIN(RADIANS(0.85)))</f>
        <v>533.16107580053426</v>
      </c>
      <c r="G87">
        <f>(-28*(SIN(RADIANS(0.85))))*-1</f>
        <v>0.41537312527587533</v>
      </c>
      <c r="J87">
        <f>((-28*(SIN(RADIANS(0.85))))*-1)*1.2</f>
        <v>0.49844775033105038</v>
      </c>
      <c r="K87">
        <f t="shared" si="1"/>
        <v>0</v>
      </c>
    </row>
    <row r="88" spans="1:11" x14ac:dyDescent="0.3">
      <c r="A88">
        <v>35912</v>
      </c>
      <c r="B88">
        <v>-24</v>
      </c>
      <c r="D88">
        <f>-28*(SIN(RADIANS(0.85)))</f>
        <v>-0.41537312527587533</v>
      </c>
      <c r="E88">
        <f>35912*(SIN(RADIANS(0.85)))</f>
        <v>532.74570267525837</v>
      </c>
      <c r="G88">
        <f>(-24*(SIN(RADIANS(0.85))))*-1</f>
        <v>0.35603410737932173</v>
      </c>
      <c r="J88">
        <f>((-24*(SIN(RADIANS(0.85))))*-1)*1.2</f>
        <v>0.42724092885518605</v>
      </c>
      <c r="K88">
        <f t="shared" si="1"/>
        <v>0</v>
      </c>
    </row>
    <row r="89" spans="1:11" x14ac:dyDescent="0.3">
      <c r="A89">
        <v>35888</v>
      </c>
      <c r="B89">
        <v>-23</v>
      </c>
      <c r="D89">
        <f>-24*(SIN(RADIANS(0.85)))</f>
        <v>-0.35603410737932173</v>
      </c>
      <c r="E89">
        <f>35888*(SIN(RADIANS(0.85)))</f>
        <v>532.38966856787908</v>
      </c>
      <c r="G89">
        <f>(-23*(SIN(RADIANS(0.85))))*-1</f>
        <v>0.34119935290518327</v>
      </c>
      <c r="J89">
        <f>((-23*(SIN(RADIANS(0.85))))*-1)*1.2</f>
        <v>0.40943922348621992</v>
      </c>
      <c r="K89">
        <f t="shared" si="1"/>
        <v>0</v>
      </c>
    </row>
    <row r="90" spans="1:11" x14ac:dyDescent="0.3">
      <c r="A90">
        <v>35865</v>
      </c>
      <c r="B90">
        <v>-24</v>
      </c>
      <c r="D90">
        <f>-23*(SIN(RADIANS(0.85)))</f>
        <v>-0.34119935290518327</v>
      </c>
      <c r="E90">
        <f>35865*(SIN(RADIANS(0.85)))</f>
        <v>532.04846921497392</v>
      </c>
      <c r="G90">
        <f>(-24*(SIN(RADIANS(0.85))))*-1</f>
        <v>0.35603410737932173</v>
      </c>
      <c r="J90">
        <f>((-24*(SIN(RADIANS(0.85))))*-1)*1.2</f>
        <v>0.42724092885518605</v>
      </c>
      <c r="K90">
        <f t="shared" si="1"/>
        <v>0</v>
      </c>
    </row>
    <row r="91" spans="1:11" x14ac:dyDescent="0.3">
      <c r="A91">
        <v>35841</v>
      </c>
      <c r="B91">
        <v>-23</v>
      </c>
      <c r="D91">
        <f>-24*(SIN(RADIANS(0.85)))</f>
        <v>-0.35603410737932173</v>
      </c>
      <c r="E91">
        <f>35841*(SIN(RADIANS(0.85)))</f>
        <v>531.69243510759452</v>
      </c>
      <c r="G91">
        <f>(-23*(SIN(RADIANS(0.85))))*-1</f>
        <v>0.34119935290518327</v>
      </c>
      <c r="J91">
        <f>((-23*(SIN(RADIANS(0.85))))*-1)*1.2</f>
        <v>0.40943922348621992</v>
      </c>
      <c r="K91">
        <f t="shared" si="1"/>
        <v>0</v>
      </c>
    </row>
    <row r="92" spans="1:11" x14ac:dyDescent="0.3">
      <c r="A92">
        <v>35818</v>
      </c>
      <c r="B92">
        <v>-26</v>
      </c>
      <c r="D92">
        <f>-23*(SIN(RADIANS(0.85)))</f>
        <v>-0.34119935290518327</v>
      </c>
      <c r="E92">
        <f>35818*(SIN(RADIANS(0.85)))</f>
        <v>531.35123575468936</v>
      </c>
      <c r="G92">
        <f>(-26*(SIN(RADIANS(0.85))))*-1</f>
        <v>0.38570361632759853</v>
      </c>
      <c r="J92">
        <f>((-26*(SIN(RADIANS(0.85))))*-1)*1.2</f>
        <v>0.46284433959311821</v>
      </c>
      <c r="K92">
        <f t="shared" si="1"/>
        <v>0</v>
      </c>
    </row>
    <row r="93" spans="1:11" x14ac:dyDescent="0.3">
      <c r="A93">
        <v>35792</v>
      </c>
      <c r="B93">
        <v>-28</v>
      </c>
      <c r="D93">
        <f>-26*(SIN(RADIANS(0.85)))</f>
        <v>-0.38570361632759853</v>
      </c>
      <c r="E93">
        <f>35792*(SIN(RADIANS(0.85)))</f>
        <v>530.96553213836171</v>
      </c>
      <c r="G93">
        <f>(-28*(SIN(RADIANS(0.85))))*-1</f>
        <v>0.41537312527587533</v>
      </c>
      <c r="J93">
        <f>((-28*(SIN(RADIANS(0.85))))*-1)*1.2</f>
        <v>0.49844775033105038</v>
      </c>
      <c r="K93">
        <f t="shared" si="1"/>
        <v>0</v>
      </c>
    </row>
    <row r="94" spans="1:11" x14ac:dyDescent="0.3">
      <c r="A94">
        <v>35764</v>
      </c>
      <c r="B94">
        <v>-30</v>
      </c>
      <c r="D94">
        <f>-28*(SIN(RADIANS(0.85)))</f>
        <v>-0.41537312527587533</v>
      </c>
      <c r="E94">
        <f>35764*(SIN(RADIANS(0.85)))</f>
        <v>530.55015901308593</v>
      </c>
      <c r="G94">
        <f>(-30*(SIN(RADIANS(0.85))))*-1</f>
        <v>0.44504263422415213</v>
      </c>
      <c r="J94">
        <f>((-30*(SIN(RADIANS(0.85))))*-1)*1.2</f>
        <v>0.53405116106898254</v>
      </c>
      <c r="K94">
        <f t="shared" si="1"/>
        <v>1</v>
      </c>
    </row>
    <row r="95" spans="1:11" x14ac:dyDescent="0.3">
      <c r="A95">
        <v>35734</v>
      </c>
      <c r="B95">
        <v>-30</v>
      </c>
      <c r="D95">
        <f>-30*(SIN(RADIANS(0.85)))</f>
        <v>-0.44504263422415213</v>
      </c>
      <c r="E95">
        <f>35734*(SIN(RADIANS(0.85)))</f>
        <v>530.10511637886168</v>
      </c>
      <c r="G95">
        <f>(-30*(SIN(RADIANS(0.85))))*-1</f>
        <v>0.44504263422415213</v>
      </c>
      <c r="J95">
        <f>((-30*(SIN(RADIANS(0.85))))*-1)*1.2</f>
        <v>0.53405116106898254</v>
      </c>
      <c r="K95">
        <f t="shared" si="1"/>
        <v>1</v>
      </c>
    </row>
    <row r="96" spans="1:11" x14ac:dyDescent="0.3">
      <c r="A96">
        <v>35704</v>
      </c>
      <c r="B96">
        <v>-33</v>
      </c>
      <c r="D96">
        <f>-30*(SIN(RADIANS(0.85)))</f>
        <v>-0.44504263422415213</v>
      </c>
      <c r="E96">
        <f>35704*(SIN(RADIANS(0.85)))</f>
        <v>529.66007374463754</v>
      </c>
      <c r="G96">
        <f>(-33*(SIN(RADIANS(0.85))))*-1</f>
        <v>0.48954689764656734</v>
      </c>
      <c r="J96">
        <f>((-33*(SIN(RADIANS(0.85))))*-1)*1.2</f>
        <v>0.58745627717588078</v>
      </c>
      <c r="K96">
        <f t="shared" si="1"/>
        <v>1</v>
      </c>
    </row>
    <row r="97" spans="1:11" x14ac:dyDescent="0.3">
      <c r="A97">
        <v>35671</v>
      </c>
      <c r="B97">
        <v>-36</v>
      </c>
      <c r="D97">
        <f>-33*(SIN(RADIANS(0.85)))</f>
        <v>-0.48954689764656734</v>
      </c>
      <c r="E97">
        <f>35671*(SIN(RADIANS(0.85)))</f>
        <v>529.17052684699104</v>
      </c>
      <c r="G97">
        <f>(-36*(SIN(RADIANS(0.85))))*-1</f>
        <v>0.53405116106898254</v>
      </c>
      <c r="J97">
        <f>((-36*(SIN(RADIANS(0.85))))*-1)*1.2</f>
        <v>0.64086139328277902</v>
      </c>
      <c r="K97">
        <f t="shared" si="1"/>
        <v>1</v>
      </c>
    </row>
    <row r="98" spans="1:11" x14ac:dyDescent="0.3">
      <c r="A98">
        <v>35635</v>
      </c>
      <c r="B98">
        <v>-36</v>
      </c>
      <c r="D98">
        <f>-36*(SIN(RADIANS(0.85)))</f>
        <v>-0.53405116106898254</v>
      </c>
      <c r="E98">
        <f>35635*(SIN(RADIANS(0.85)))</f>
        <v>528.63647568592205</v>
      </c>
      <c r="G98">
        <f>(-36*(SIN(RADIANS(0.85))))*-1</f>
        <v>0.53405116106898254</v>
      </c>
      <c r="J98">
        <f>((-36*(SIN(RADIANS(0.85))))*-1)*1.2</f>
        <v>0.64086139328277902</v>
      </c>
      <c r="K98">
        <f t="shared" si="1"/>
        <v>1</v>
      </c>
    </row>
    <row r="99" spans="1:11" x14ac:dyDescent="0.3">
      <c r="A99">
        <v>35598</v>
      </c>
      <c r="B99">
        <v>-38</v>
      </c>
      <c r="D99">
        <f>-36*(SIN(RADIANS(0.85)))</f>
        <v>-0.53405116106898254</v>
      </c>
      <c r="E99">
        <f>35598*(SIN(RADIANS(0.85)))</f>
        <v>528.08758977037894</v>
      </c>
      <c r="G99">
        <f>(-38*(SIN(RADIANS(0.85))))*-1</f>
        <v>0.56372067001725934</v>
      </c>
      <c r="J99">
        <f>((-38*(SIN(RADIANS(0.85))))*-1)*1.2</f>
        <v>0.67646480402071119</v>
      </c>
      <c r="K99">
        <f t="shared" si="1"/>
        <v>1</v>
      </c>
    </row>
    <row r="100" spans="1:11" x14ac:dyDescent="0.3">
      <c r="A100">
        <v>35561</v>
      </c>
      <c r="B100">
        <v>-42</v>
      </c>
      <c r="D100">
        <f>-38*(SIN(RADIANS(0.85)))</f>
        <v>-0.56372067001725934</v>
      </c>
      <c r="E100">
        <f>35561*(SIN(RADIANS(0.85)))</f>
        <v>527.53870385483583</v>
      </c>
      <c r="G100">
        <f>(-42*(SIN(RADIANS(0.85))))*-1</f>
        <v>0.62305968791381294</v>
      </c>
      <c r="J100">
        <f>((-42*(SIN(RADIANS(0.85))))*-1)*1.2</f>
        <v>0.74767162549657551</v>
      </c>
      <c r="K100">
        <f t="shared" si="1"/>
        <v>1</v>
      </c>
    </row>
    <row r="101" spans="1:11" x14ac:dyDescent="0.3">
      <c r="A101">
        <v>35519</v>
      </c>
      <c r="B101">
        <v>-42</v>
      </c>
      <c r="D101">
        <f>-42*(SIN(RADIANS(0.85)))</f>
        <v>-0.62305968791381294</v>
      </c>
      <c r="E101">
        <f>35519*(SIN(RADIANS(0.85)))</f>
        <v>526.91564416692199</v>
      </c>
      <c r="G101">
        <f>(-42*(SIN(RADIANS(0.85))))*-1</f>
        <v>0.62305968791381294</v>
      </c>
      <c r="J101">
        <f>((-42*(SIN(RADIANS(0.85))))*-1)*1.2</f>
        <v>0.74767162549657551</v>
      </c>
      <c r="K101">
        <f t="shared" si="1"/>
        <v>1</v>
      </c>
    </row>
    <row r="102" spans="1:11" x14ac:dyDescent="0.3">
      <c r="A102">
        <v>35477</v>
      </c>
      <c r="B102">
        <v>-42</v>
      </c>
      <c r="D102">
        <f>-42*(SIN(RADIANS(0.85)))</f>
        <v>-0.62305968791381294</v>
      </c>
      <c r="E102">
        <f>35477*(SIN(RADIANS(0.85)))</f>
        <v>526.29258447900816</v>
      </c>
      <c r="G102">
        <f>(-42*(SIN(RADIANS(0.85))))*-1</f>
        <v>0.62305968791381294</v>
      </c>
      <c r="J102">
        <f>((-42*(SIN(RADIANS(0.85))))*-1)*1.2</f>
        <v>0.74767162549657551</v>
      </c>
      <c r="K102">
        <f t="shared" si="1"/>
        <v>1</v>
      </c>
    </row>
    <row r="103" spans="1:11" x14ac:dyDescent="0.3">
      <c r="A103">
        <v>35435</v>
      </c>
      <c r="B103">
        <v>-46</v>
      </c>
      <c r="D103">
        <f>-42*(SIN(RADIANS(0.85)))</f>
        <v>-0.62305968791381294</v>
      </c>
      <c r="E103">
        <f>35435*(SIN(RADIANS(0.85)))</f>
        <v>525.66952479109432</v>
      </c>
      <c r="G103">
        <f>(-46*(SIN(RADIANS(0.85))))*-1</f>
        <v>0.68239870581036655</v>
      </c>
      <c r="J103">
        <f>((-46*(SIN(RADIANS(0.85))))*-1)*1.2</f>
        <v>0.81887844697243983</v>
      </c>
      <c r="K103">
        <f t="shared" si="1"/>
        <v>1</v>
      </c>
    </row>
    <row r="104" spans="1:11" x14ac:dyDescent="0.3">
      <c r="A104">
        <v>35389</v>
      </c>
      <c r="B104">
        <v>-49</v>
      </c>
      <c r="D104">
        <f>-46*(SIN(RADIANS(0.85)))</f>
        <v>-0.68239870581036655</v>
      </c>
      <c r="E104">
        <f>35389*(SIN(RADIANS(0.85)))</f>
        <v>524.98712608528399</v>
      </c>
      <c r="G104">
        <f>(-49*(SIN(RADIANS(0.85))))*-1</f>
        <v>0.72690296923278186</v>
      </c>
      <c r="J104">
        <f>((-49*(SIN(RADIANS(0.85))))*-1)*1.2</f>
        <v>0.87228356307933819</v>
      </c>
      <c r="K104">
        <f t="shared" si="1"/>
        <v>1</v>
      </c>
    </row>
    <row r="105" spans="1:11" x14ac:dyDescent="0.3">
      <c r="A105">
        <v>35340</v>
      </c>
      <c r="B105">
        <v>-49</v>
      </c>
      <c r="D105">
        <f>-49*(SIN(RADIANS(0.85)))</f>
        <v>-0.72690296923278186</v>
      </c>
      <c r="E105">
        <f>35340*(SIN(RADIANS(0.85)))</f>
        <v>524.26022311605118</v>
      </c>
      <c r="G105">
        <f>(-49*(SIN(RADIANS(0.85))))*-1</f>
        <v>0.72690296923278186</v>
      </c>
      <c r="J105">
        <f>((-49*(SIN(RADIANS(0.85))))*-1)*1.2</f>
        <v>0.87228356307933819</v>
      </c>
      <c r="K105">
        <f t="shared" si="1"/>
        <v>1</v>
      </c>
    </row>
    <row r="106" spans="1:11" x14ac:dyDescent="0.3">
      <c r="A106">
        <v>35290</v>
      </c>
      <c r="B106">
        <v>-51</v>
      </c>
      <c r="D106">
        <f>-49*(SIN(RADIANS(0.85)))</f>
        <v>-0.72690296923278186</v>
      </c>
      <c r="E106">
        <f>35290*(SIN(RADIANS(0.85)))</f>
        <v>523.51848539234425</v>
      </c>
      <c r="G106">
        <f>(-51*(SIN(RADIANS(0.85))))*-1</f>
        <v>0.75657247818105866</v>
      </c>
      <c r="J106">
        <f>((-51*(SIN(RADIANS(0.85))))*-1)*1.2</f>
        <v>0.90788697381727035</v>
      </c>
      <c r="K106">
        <f t="shared" si="1"/>
        <v>1</v>
      </c>
    </row>
    <row r="107" spans="1:11" x14ac:dyDescent="0.3">
      <c r="A107">
        <v>35240</v>
      </c>
      <c r="B107">
        <v>-53</v>
      </c>
      <c r="D107">
        <f>-51*(SIN(RADIANS(0.85)))</f>
        <v>-0.75657247818105866</v>
      </c>
      <c r="E107">
        <f>35240*(SIN(RADIANS(0.85)))</f>
        <v>522.77674766863731</v>
      </c>
      <c r="G107">
        <f>(-53*(SIN(RADIANS(0.85))))*-1</f>
        <v>0.78624198712933546</v>
      </c>
      <c r="J107">
        <f>((-53*(SIN(RADIANS(0.85))))*-1)*1.2</f>
        <v>0.94349038455520251</v>
      </c>
      <c r="K107">
        <f t="shared" si="1"/>
        <v>1</v>
      </c>
    </row>
    <row r="108" spans="1:11" x14ac:dyDescent="0.3">
      <c r="A108">
        <v>35187</v>
      </c>
      <c r="B108">
        <v>-55</v>
      </c>
      <c r="D108">
        <f>-53*(SIN(RADIANS(0.85)))</f>
        <v>-0.78624198712933546</v>
      </c>
      <c r="E108">
        <f>35187*(SIN(RADIANS(0.85)))</f>
        <v>521.99050568150801</v>
      </c>
      <c r="G108">
        <f>(-55*(SIN(RADIANS(0.85))))*-1</f>
        <v>0.81591149607761226</v>
      </c>
      <c r="J108">
        <f>((-55*(SIN(RADIANS(0.85))))*-1)*1.2</f>
        <v>0.97909379529313467</v>
      </c>
      <c r="K108">
        <f t="shared" si="1"/>
        <v>1</v>
      </c>
    </row>
    <row r="109" spans="1:11" x14ac:dyDescent="0.3">
      <c r="A109">
        <v>35131</v>
      </c>
      <c r="B109">
        <v>-56</v>
      </c>
      <c r="D109">
        <f>-55*(SIN(RADIANS(0.85)))</f>
        <v>-0.81591149607761226</v>
      </c>
      <c r="E109">
        <f>35131*(SIN(RADIANS(0.85)))</f>
        <v>521.15975943095623</v>
      </c>
      <c r="G109">
        <f>(-56*(SIN(RADIANS(0.85))))*-1</f>
        <v>0.83074625055175066</v>
      </c>
      <c r="J109">
        <f>((-56*(SIN(RADIANS(0.85))))*-1)*1.2</f>
        <v>0.99689550066210075</v>
      </c>
      <c r="K109">
        <f t="shared" si="1"/>
        <v>1</v>
      </c>
    </row>
    <row r="110" spans="1:11" x14ac:dyDescent="0.3">
      <c r="A110">
        <v>35076</v>
      </c>
      <c r="B110">
        <v>-58</v>
      </c>
      <c r="D110">
        <f>-56*(SIN(RADIANS(0.85)))</f>
        <v>-0.83074625055175066</v>
      </c>
      <c r="E110">
        <f>35076*(SIN(RADIANS(0.85)))</f>
        <v>520.34384793487868</v>
      </c>
      <c r="G110">
        <f>(-58*(SIN(RADIANS(0.85))))*-1</f>
        <v>0.86041575950002747</v>
      </c>
      <c r="J110">
        <f>((-58*(SIN(RADIANS(0.85))))*-1)*1.2</f>
        <v>1.0324989114000329</v>
      </c>
      <c r="K110">
        <f t="shared" si="1"/>
        <v>1</v>
      </c>
    </row>
    <row r="111" spans="1:11" x14ac:dyDescent="0.3">
      <c r="A111">
        <v>35018</v>
      </c>
      <c r="B111">
        <v>-62</v>
      </c>
      <c r="D111">
        <f>-58*(SIN(RADIANS(0.85)))</f>
        <v>-0.86041575950002747</v>
      </c>
      <c r="E111">
        <f>35018*(SIN(RADIANS(0.85)))</f>
        <v>519.48343217537865</v>
      </c>
      <c r="G111">
        <f>(-62*(SIN(RADIANS(0.85))))*-1</f>
        <v>0.91975477739658107</v>
      </c>
      <c r="J111">
        <f>((-62*(SIN(RADIANS(0.85))))*-1)*1.2</f>
        <v>1.1037057328758972</v>
      </c>
      <c r="K111">
        <f t="shared" si="1"/>
        <v>1</v>
      </c>
    </row>
    <row r="112" spans="1:11" x14ac:dyDescent="0.3">
      <c r="A112">
        <v>34956</v>
      </c>
      <c r="B112">
        <v>-61</v>
      </c>
      <c r="D112">
        <f>-62*(SIN(RADIANS(0.85)))</f>
        <v>-0.91975477739658107</v>
      </c>
      <c r="E112">
        <f>34956*(SIN(RADIANS(0.85)))</f>
        <v>518.56367739798202</v>
      </c>
      <c r="G112">
        <f>(-61*(SIN(RADIANS(0.85))))*-1</f>
        <v>0.90492002292244267</v>
      </c>
      <c r="J112">
        <f>((-61*(SIN(RADIANS(0.85))))*-1)*1.2</f>
        <v>1.0859040275069312</v>
      </c>
      <c r="K112">
        <f t="shared" si="1"/>
        <v>1</v>
      </c>
    </row>
    <row r="113" spans="1:11" x14ac:dyDescent="0.3">
      <c r="A113">
        <v>34894</v>
      </c>
      <c r="B113">
        <v>-63</v>
      </c>
      <c r="D113">
        <f>-61*(SIN(RADIANS(0.85)))</f>
        <v>-0.90492002292244267</v>
      </c>
      <c r="E113">
        <f>34894*(SIN(RADIANS(0.85)))</f>
        <v>517.6439226205855</v>
      </c>
      <c r="G113">
        <f>(-63*(SIN(RADIANS(0.85))))*-1</f>
        <v>0.93458953187071947</v>
      </c>
      <c r="J113">
        <f>((-63*(SIN(RADIANS(0.85))))*-1)*1.2</f>
        <v>1.1215074382448633</v>
      </c>
      <c r="K113">
        <f t="shared" si="1"/>
        <v>1</v>
      </c>
    </row>
    <row r="114" spans="1:11" x14ac:dyDescent="0.3">
      <c r="A114">
        <v>34831</v>
      </c>
      <c r="B114">
        <v>-66</v>
      </c>
      <c r="D114">
        <f>-63*(SIN(RADIANS(0.85)))</f>
        <v>-0.93458953187071947</v>
      </c>
      <c r="E114">
        <f>34831*(SIN(RADIANS(0.85)))</f>
        <v>516.70933308871474</v>
      </c>
      <c r="G114">
        <f>(-66*(SIN(RADIANS(0.85))))*-1</f>
        <v>0.97909379529313467</v>
      </c>
      <c r="J114">
        <f>((-66*(SIN(RADIANS(0.85))))*-1)*1.2</f>
        <v>1.1749125543517616</v>
      </c>
      <c r="K114">
        <f t="shared" si="1"/>
        <v>1</v>
      </c>
    </row>
    <row r="115" spans="1:11" x14ac:dyDescent="0.3">
      <c r="A115">
        <v>34765</v>
      </c>
      <c r="B115">
        <v>-68</v>
      </c>
      <c r="D115">
        <f>-66*(SIN(RADIANS(0.85)))</f>
        <v>-0.97909379529313467</v>
      </c>
      <c r="E115">
        <f>34765*(SIN(RADIANS(0.85)))</f>
        <v>515.73023929342162</v>
      </c>
      <c r="G115">
        <f>(-68*(SIN(RADIANS(0.85))))*-1</f>
        <v>1.0087633042414115</v>
      </c>
      <c r="J115">
        <f>((-68*(SIN(RADIANS(0.85))))*-1)*1.2</f>
        <v>1.2105159650896937</v>
      </c>
      <c r="K115">
        <f t="shared" si="1"/>
        <v>1</v>
      </c>
    </row>
    <row r="116" spans="1:11" x14ac:dyDescent="0.3">
      <c r="A116">
        <v>34697</v>
      </c>
      <c r="B116">
        <v>-69</v>
      </c>
      <c r="D116">
        <f>-68*(SIN(RADIANS(0.85)))</f>
        <v>-1.0087633042414115</v>
      </c>
      <c r="E116">
        <f>34697*(SIN(RADIANS(0.85)))</f>
        <v>514.72147598918025</v>
      </c>
      <c r="G116">
        <f>(-69*(SIN(RADIANS(0.85))))*-1</f>
        <v>1.02359805871555</v>
      </c>
      <c r="J116">
        <f>((-69*(SIN(RADIANS(0.85))))*-1)*1.2</f>
        <v>1.22831767045866</v>
      </c>
      <c r="K116">
        <f t="shared" si="1"/>
        <v>1</v>
      </c>
    </row>
    <row r="117" spans="1:11" x14ac:dyDescent="0.3">
      <c r="A117">
        <v>34629</v>
      </c>
      <c r="B117">
        <v>-70</v>
      </c>
      <c r="D117">
        <f>-69*(SIN(RADIANS(0.85)))</f>
        <v>-1.02359805871555</v>
      </c>
      <c r="E117">
        <f>34629*(SIN(RADIANS(0.85)))</f>
        <v>513.71271268493877</v>
      </c>
      <c r="G117">
        <f>(-70*(SIN(RADIANS(0.85))))*-1</f>
        <v>1.0384328131896883</v>
      </c>
      <c r="J117">
        <f>((-70*(SIN(RADIANS(0.85))))*-1)*1.2</f>
        <v>1.2461193758276259</v>
      </c>
      <c r="K117">
        <f t="shared" si="1"/>
        <v>1</v>
      </c>
    </row>
    <row r="118" spans="1:11" x14ac:dyDescent="0.3">
      <c r="A118">
        <v>34559</v>
      </c>
      <c r="B118">
        <v>-75</v>
      </c>
      <c r="D118">
        <f>-70*(SIN(RADIANS(0.85)))</f>
        <v>-1.0384328131896883</v>
      </c>
      <c r="E118">
        <f>34559*(SIN(RADIANS(0.85)))</f>
        <v>512.67427987174915</v>
      </c>
      <c r="G118">
        <f>(-75*(SIN(RADIANS(0.85))))*-1</f>
        <v>1.1126065855603804</v>
      </c>
      <c r="J118">
        <f>((-75*(SIN(RADIANS(0.85))))*-1)*1.2</f>
        <v>1.3351279026724565</v>
      </c>
      <c r="K118">
        <f t="shared" si="1"/>
        <v>1</v>
      </c>
    </row>
    <row r="119" spans="1:11" x14ac:dyDescent="0.3">
      <c r="A119">
        <v>34484</v>
      </c>
      <c r="B119">
        <v>-75</v>
      </c>
      <c r="D119">
        <f>-75*(SIN(RADIANS(0.85)))</f>
        <v>-1.1126065855603804</v>
      </c>
      <c r="E119">
        <f>34484*(SIN(RADIANS(0.85)))</f>
        <v>511.56167328618875</v>
      </c>
      <c r="G119">
        <f>(-75*(SIN(RADIANS(0.85))))*-1</f>
        <v>1.1126065855603804</v>
      </c>
      <c r="J119">
        <f>((-75*(SIN(RADIANS(0.85))))*-1)*1.2</f>
        <v>1.3351279026724565</v>
      </c>
      <c r="K119">
        <f t="shared" si="1"/>
        <v>1</v>
      </c>
    </row>
    <row r="120" spans="1:11" x14ac:dyDescent="0.3">
      <c r="A120">
        <v>34409</v>
      </c>
      <c r="B120">
        <v>-75</v>
      </c>
      <c r="D120">
        <f>-75*(SIN(RADIANS(0.85)))</f>
        <v>-1.1126065855603804</v>
      </c>
      <c r="E120">
        <f>34409*(SIN(RADIANS(0.85)))</f>
        <v>510.44906670062835</v>
      </c>
      <c r="G120">
        <f>(-75*(SIN(RADIANS(0.85))))*-1</f>
        <v>1.1126065855603804</v>
      </c>
      <c r="J120">
        <f>((-75*(SIN(RADIANS(0.85))))*-1)*1.2</f>
        <v>1.3351279026724565</v>
      </c>
      <c r="K120">
        <f t="shared" si="1"/>
        <v>1</v>
      </c>
    </row>
    <row r="121" spans="1:11" x14ac:dyDescent="0.3">
      <c r="A121">
        <v>34333</v>
      </c>
      <c r="B121">
        <v>-79</v>
      </c>
      <c r="D121">
        <f>-75*(SIN(RADIANS(0.85)))</f>
        <v>-1.1126065855603804</v>
      </c>
      <c r="E121">
        <f>34333*(SIN(RADIANS(0.85)))</f>
        <v>509.32162536059383</v>
      </c>
      <c r="G121">
        <f>(-79*(SIN(RADIANS(0.85))))*-1</f>
        <v>1.171945603456934</v>
      </c>
      <c r="J121">
        <f>((-79*(SIN(RADIANS(0.85))))*-1)*1.2</f>
        <v>1.4063347241483208</v>
      </c>
      <c r="K121">
        <f t="shared" si="1"/>
        <v>1</v>
      </c>
    </row>
    <row r="122" spans="1:11" x14ac:dyDescent="0.3">
      <c r="A122">
        <v>34255</v>
      </c>
      <c r="B122">
        <v>-81</v>
      </c>
      <c r="D122">
        <f>-79*(SIN(RADIANS(0.85)))</f>
        <v>-1.171945603456934</v>
      </c>
      <c r="E122">
        <f>34255*(SIN(RADIANS(0.85)))</f>
        <v>508.16451451161106</v>
      </c>
      <c r="G122">
        <f>(-81*(SIN(RADIANS(0.85))))*-1</f>
        <v>1.2016151124052108</v>
      </c>
      <c r="J122">
        <f>((-81*(SIN(RADIANS(0.85))))*-1)*1.2</f>
        <v>1.441938134886253</v>
      </c>
      <c r="K122">
        <f t="shared" si="1"/>
        <v>1</v>
      </c>
    </row>
    <row r="123" spans="1:11" x14ac:dyDescent="0.3">
      <c r="A123">
        <v>34174</v>
      </c>
      <c r="B123">
        <v>-81</v>
      </c>
      <c r="D123">
        <f>-81*(SIN(RADIANS(0.85)))</f>
        <v>-1.2016151124052108</v>
      </c>
      <c r="E123">
        <f>34174*(SIN(RADIANS(0.85)))</f>
        <v>506.96289939920581</v>
      </c>
      <c r="G123">
        <f>(-81*(SIN(RADIANS(0.85))))*-1</f>
        <v>1.2016151124052108</v>
      </c>
      <c r="J123">
        <f>((-81*(SIN(RADIANS(0.85))))*-1)*1.2</f>
        <v>1.441938134886253</v>
      </c>
      <c r="K123">
        <f t="shared" si="1"/>
        <v>1</v>
      </c>
    </row>
    <row r="124" spans="1:11" x14ac:dyDescent="0.3">
      <c r="A124">
        <v>34093</v>
      </c>
      <c r="B124">
        <v>-84</v>
      </c>
      <c r="D124">
        <f>-81*(SIN(RADIANS(0.85)))</f>
        <v>-1.2016151124052108</v>
      </c>
      <c r="E124">
        <f>34093*(SIN(RADIANS(0.85)))</f>
        <v>505.76128428680062</v>
      </c>
      <c r="G124">
        <f>(-84*(SIN(RADIANS(0.85))))*-1</f>
        <v>1.2461193758276259</v>
      </c>
      <c r="J124">
        <f>((-84*(SIN(RADIANS(0.85))))*-1)*1.2</f>
        <v>1.495343250993151</v>
      </c>
      <c r="K124">
        <f t="shared" si="1"/>
        <v>1</v>
      </c>
    </row>
    <row r="125" spans="1:11" x14ac:dyDescent="0.3">
      <c r="A125">
        <v>34009</v>
      </c>
      <c r="B125">
        <v>-87</v>
      </c>
      <c r="D125">
        <f>-84*(SIN(RADIANS(0.85)))</f>
        <v>-1.2461193758276259</v>
      </c>
      <c r="E125">
        <f>34009*(SIN(RADIANS(0.85)))</f>
        <v>504.515164910973</v>
      </c>
      <c r="G125">
        <f>(-87*(SIN(RADIANS(0.85))))*-1</f>
        <v>1.2906236392500412</v>
      </c>
      <c r="J125">
        <f>((-87*(SIN(RADIANS(0.85))))*-1)*1.2</f>
        <v>1.5487483671000495</v>
      </c>
      <c r="K125">
        <f t="shared" si="1"/>
        <v>2</v>
      </c>
    </row>
    <row r="126" spans="1:11" x14ac:dyDescent="0.3">
      <c r="A126">
        <v>33922</v>
      </c>
      <c r="B126">
        <v>-87</v>
      </c>
      <c r="D126">
        <f>-87*(SIN(RADIANS(0.85)))</f>
        <v>-1.2906236392500412</v>
      </c>
      <c r="E126">
        <f>33922*(SIN(RADIANS(0.85)))</f>
        <v>503.22454127172296</v>
      </c>
      <c r="G126">
        <f>(-87*(SIN(RADIANS(0.85))))*-1</f>
        <v>1.2906236392500412</v>
      </c>
      <c r="J126">
        <f>((-87*(SIN(RADIANS(0.85))))*-1)*1.2</f>
        <v>1.5487483671000495</v>
      </c>
      <c r="K126">
        <f t="shared" si="1"/>
        <v>2</v>
      </c>
    </row>
    <row r="127" spans="1:11" x14ac:dyDescent="0.3">
      <c r="A127">
        <v>33835</v>
      </c>
      <c r="B127">
        <v>-88</v>
      </c>
      <c r="D127">
        <f>-87*(SIN(RADIANS(0.85)))</f>
        <v>-1.2906236392500412</v>
      </c>
      <c r="E127">
        <f>33835*(SIN(RADIANS(0.85)))</f>
        <v>501.93391763247291</v>
      </c>
      <c r="G127">
        <f>(-88*(SIN(RADIANS(0.85))))*-1</f>
        <v>1.3054583937241795</v>
      </c>
      <c r="J127">
        <f>((-88*(SIN(RADIANS(0.85))))*-1)*1.2</f>
        <v>1.5665500724690153</v>
      </c>
      <c r="K127">
        <f t="shared" si="1"/>
        <v>2</v>
      </c>
    </row>
    <row r="128" spans="1:11" x14ac:dyDescent="0.3">
      <c r="A128">
        <v>33746</v>
      </c>
      <c r="B128">
        <v>-92</v>
      </c>
      <c r="D128">
        <f>-88*(SIN(RADIANS(0.85)))</f>
        <v>-1.3054583937241795</v>
      </c>
      <c r="E128">
        <f>33746*(SIN(RADIANS(0.85)))</f>
        <v>500.61362448427457</v>
      </c>
      <c r="G128">
        <f>(-92*(SIN(RADIANS(0.85))))*-1</f>
        <v>1.3647974116207331</v>
      </c>
      <c r="J128">
        <f>((-92*(SIN(RADIANS(0.85))))*-1)*1.2</f>
        <v>1.6377568939448797</v>
      </c>
      <c r="K128">
        <f t="shared" si="1"/>
        <v>2</v>
      </c>
    </row>
    <row r="129" spans="1:11" x14ac:dyDescent="0.3">
      <c r="A129">
        <v>33655</v>
      </c>
      <c r="B129">
        <v>-94</v>
      </c>
      <c r="D129">
        <f>-92*(SIN(RADIANS(0.85)))</f>
        <v>-1.3647974116207331</v>
      </c>
      <c r="E129">
        <f>33655*(SIN(RADIANS(0.85)))</f>
        <v>499.26366182712798</v>
      </c>
      <c r="G129">
        <f>(-94*(SIN(RADIANS(0.85))))*-1</f>
        <v>1.3944669205690099</v>
      </c>
      <c r="J129">
        <f>((-94*(SIN(RADIANS(0.85))))*-1)*1.2</f>
        <v>1.6733603046828118</v>
      </c>
      <c r="K129">
        <f t="shared" si="1"/>
        <v>2</v>
      </c>
    </row>
    <row r="130" spans="1:11" x14ac:dyDescent="0.3">
      <c r="A130">
        <v>33561</v>
      </c>
      <c r="B130">
        <v>-94</v>
      </c>
      <c r="D130">
        <f>-94*(SIN(RADIANS(0.85)))</f>
        <v>-1.3944669205690099</v>
      </c>
      <c r="E130">
        <f>33561*(SIN(RADIANS(0.85)))</f>
        <v>497.86919490655896</v>
      </c>
      <c r="G130">
        <f>(-94*(SIN(RADIANS(0.85))))*-1</f>
        <v>1.3944669205690099</v>
      </c>
      <c r="J130">
        <f>((-94*(SIN(RADIANS(0.85))))*-1)*1.2</f>
        <v>1.6733603046828118</v>
      </c>
      <c r="K130">
        <f t="shared" si="1"/>
        <v>2</v>
      </c>
    </row>
    <row r="131" spans="1:11" x14ac:dyDescent="0.3">
      <c r="A131">
        <v>33467</v>
      </c>
      <c r="B131">
        <v>-96</v>
      </c>
      <c r="D131">
        <f>-94*(SIN(RADIANS(0.85)))</f>
        <v>-1.3944669205690099</v>
      </c>
      <c r="E131">
        <f>33467*(SIN(RADIANS(0.85)))</f>
        <v>496.47472798599</v>
      </c>
      <c r="G131">
        <f>(-96*(SIN(RADIANS(0.85))))*-1</f>
        <v>1.4241364295172869</v>
      </c>
      <c r="J131">
        <f>((-96*(SIN(RADIANS(0.85))))*-1)*1.2</f>
        <v>1.7089637154207442</v>
      </c>
      <c r="K131">
        <f t="shared" ref="K131:K194" si="2">ROUND(J131, 0)</f>
        <v>2</v>
      </c>
    </row>
    <row r="132" spans="1:11" x14ac:dyDescent="0.3">
      <c r="A132">
        <v>33371</v>
      </c>
      <c r="B132">
        <v>-101</v>
      </c>
      <c r="D132">
        <f>-96*(SIN(RADIANS(0.85)))</f>
        <v>-1.4241364295172869</v>
      </c>
      <c r="E132">
        <f>33371*(SIN(RADIANS(0.85)))</f>
        <v>495.05059155647268</v>
      </c>
      <c r="G132">
        <f>(-101*(SIN(RADIANS(0.85))))*-1</f>
        <v>1.4983102018879788</v>
      </c>
      <c r="J132">
        <f>((-101*(SIN(RADIANS(0.85))))*-1)*1.2</f>
        <v>1.7979722422655746</v>
      </c>
      <c r="K132">
        <f t="shared" si="2"/>
        <v>2</v>
      </c>
    </row>
    <row r="133" spans="1:11" x14ac:dyDescent="0.3">
      <c r="A133">
        <v>33270</v>
      </c>
      <c r="B133">
        <v>-100</v>
      </c>
      <c r="D133">
        <f>-101*(SIN(RADIANS(0.85)))</f>
        <v>-1.4983102018879788</v>
      </c>
      <c r="E133">
        <f>33270*(SIN(RADIANS(0.85)))</f>
        <v>493.55228135458469</v>
      </c>
      <c r="G133">
        <f>(-100*(SIN(RADIANS(0.85))))*-1</f>
        <v>1.4834754474138405</v>
      </c>
      <c r="J133">
        <f>((-100*(SIN(RADIANS(0.85))))*-1)*1.2</f>
        <v>1.7801705368966085</v>
      </c>
      <c r="K133">
        <f t="shared" si="2"/>
        <v>2</v>
      </c>
    </row>
    <row r="134" spans="1:11" x14ac:dyDescent="0.3">
      <c r="A134">
        <v>33170</v>
      </c>
      <c r="B134">
        <v>-101</v>
      </c>
      <c r="D134">
        <f>-100*(SIN(RADIANS(0.85)))</f>
        <v>-1.4834754474138405</v>
      </c>
      <c r="E134">
        <f>33170*(SIN(RADIANS(0.85)))</f>
        <v>492.06880590717088</v>
      </c>
      <c r="G134">
        <f>(-101*(SIN(RADIANS(0.85))))*-1</f>
        <v>1.4983102018879788</v>
      </c>
      <c r="J134">
        <f>((-101*(SIN(RADIANS(0.85))))*-1)*1.2</f>
        <v>1.7979722422655746</v>
      </c>
      <c r="K134">
        <f t="shared" si="2"/>
        <v>2</v>
      </c>
    </row>
    <row r="135" spans="1:11" x14ac:dyDescent="0.3">
      <c r="A135">
        <v>33069</v>
      </c>
      <c r="B135">
        <v>-105</v>
      </c>
      <c r="D135">
        <f>-101*(SIN(RADIANS(0.85)))</f>
        <v>-1.4983102018879788</v>
      </c>
      <c r="E135">
        <f>33069*(SIN(RADIANS(0.85)))</f>
        <v>490.57049570528289</v>
      </c>
      <c r="G135">
        <f>(-105*(SIN(RADIANS(0.85))))*-1</f>
        <v>1.5576492197845324</v>
      </c>
      <c r="J135">
        <f>((-105*(SIN(RADIANS(0.85))))*-1)*1.2</f>
        <v>1.8691790637414387</v>
      </c>
      <c r="K135">
        <f t="shared" si="2"/>
        <v>2</v>
      </c>
    </row>
    <row r="136" spans="1:11" x14ac:dyDescent="0.3">
      <c r="A136">
        <v>32964</v>
      </c>
      <c r="B136">
        <v>-106</v>
      </c>
      <c r="D136">
        <f>-105*(SIN(RADIANS(0.85)))</f>
        <v>-1.5576492197845324</v>
      </c>
      <c r="E136">
        <f>32964*(SIN(RADIANS(0.85)))</f>
        <v>489.01284648549836</v>
      </c>
      <c r="G136">
        <f>(-106*(SIN(RADIANS(0.85))))*-1</f>
        <v>1.5724839742586709</v>
      </c>
      <c r="J136">
        <f>((-106*(SIN(RADIANS(0.85))))*-1)*1.2</f>
        <v>1.886980769110405</v>
      </c>
      <c r="K136">
        <f t="shared" si="2"/>
        <v>2</v>
      </c>
    </row>
    <row r="137" spans="1:11" x14ac:dyDescent="0.3">
      <c r="A137">
        <v>32857</v>
      </c>
      <c r="B137">
        <v>-107</v>
      </c>
      <c r="D137">
        <f>-106*(SIN(RADIANS(0.85)))</f>
        <v>-1.5724839742586709</v>
      </c>
      <c r="E137">
        <f>32857*(SIN(RADIANS(0.85)))</f>
        <v>487.42552775676558</v>
      </c>
      <c r="G137">
        <f>(-107*(SIN(RADIANS(0.85))))*-1</f>
        <v>1.5873187287328092</v>
      </c>
      <c r="J137">
        <f>((-107*(SIN(RADIANS(0.85))))*-1)*1.2</f>
        <v>1.9047824744793709</v>
      </c>
      <c r="K137">
        <f t="shared" si="2"/>
        <v>2</v>
      </c>
    </row>
    <row r="138" spans="1:11" x14ac:dyDescent="0.3">
      <c r="A138">
        <v>32750</v>
      </c>
      <c r="B138">
        <v>-109</v>
      </c>
      <c r="D138">
        <f>-107*(SIN(RADIANS(0.85)))</f>
        <v>-1.5873187287328092</v>
      </c>
      <c r="E138">
        <f>32750*(SIN(RADIANS(0.85)))</f>
        <v>485.83820902803274</v>
      </c>
      <c r="G138">
        <f>(-109*(SIN(RADIANS(0.85))))*-1</f>
        <v>1.616988237681086</v>
      </c>
      <c r="J138">
        <f>((-109*(SIN(RADIANS(0.85))))*-1)*1.2</f>
        <v>1.940385885217303</v>
      </c>
      <c r="K138">
        <f t="shared" si="2"/>
        <v>2</v>
      </c>
    </row>
    <row r="139" spans="1:11" x14ac:dyDescent="0.3">
      <c r="A139">
        <v>32641</v>
      </c>
      <c r="B139">
        <v>-113</v>
      </c>
      <c r="D139">
        <f>-109*(SIN(RADIANS(0.85)))</f>
        <v>-1.616988237681086</v>
      </c>
      <c r="E139">
        <f>32641*(SIN(RADIANS(0.85)))</f>
        <v>484.22122079035165</v>
      </c>
      <c r="G139">
        <f>(-113*(SIN(RADIANS(0.85))))*-1</f>
        <v>1.6763272555776396</v>
      </c>
      <c r="J139">
        <f>((-113*(SIN(RADIANS(0.85))))*-1)*1.2</f>
        <v>2.0115927066931674</v>
      </c>
      <c r="K139">
        <f t="shared" si="2"/>
        <v>2</v>
      </c>
    </row>
    <row r="140" spans="1:11" x14ac:dyDescent="0.3">
      <c r="A140">
        <v>32529</v>
      </c>
      <c r="B140">
        <v>-113</v>
      </c>
      <c r="D140">
        <f>-113*(SIN(RADIANS(0.85)))</f>
        <v>-1.6763272555776396</v>
      </c>
      <c r="E140">
        <f>32529*(SIN(RADIANS(0.85)))</f>
        <v>482.55972828924814</v>
      </c>
      <c r="G140">
        <f>(-113*(SIN(RADIANS(0.85))))*-1</f>
        <v>1.6763272555776396</v>
      </c>
      <c r="J140">
        <f>((-113*(SIN(RADIANS(0.85))))*-1)*1.2</f>
        <v>2.0115927066931674</v>
      </c>
      <c r="K140">
        <f t="shared" si="2"/>
        <v>2</v>
      </c>
    </row>
    <row r="141" spans="1:11" x14ac:dyDescent="0.3">
      <c r="A141">
        <v>32415</v>
      </c>
      <c r="B141">
        <v>-115</v>
      </c>
      <c r="D141">
        <f>-113*(SIN(RADIANS(0.85)))</f>
        <v>-1.6763272555776396</v>
      </c>
      <c r="E141">
        <f>32415*(SIN(RADIANS(0.85)))</f>
        <v>480.86856627919639</v>
      </c>
      <c r="G141">
        <f>(-115*(SIN(RADIANS(0.85))))*-1</f>
        <v>1.7059967645259164</v>
      </c>
      <c r="J141">
        <f>((-115*(SIN(RADIANS(0.85))))*-1)*1.2</f>
        <v>2.0471961174310995</v>
      </c>
      <c r="K141">
        <f t="shared" si="2"/>
        <v>2</v>
      </c>
    </row>
    <row r="142" spans="1:11" x14ac:dyDescent="0.3">
      <c r="A142">
        <v>32301</v>
      </c>
      <c r="B142">
        <v>-118</v>
      </c>
      <c r="D142">
        <f>-115*(SIN(RADIANS(0.85)))</f>
        <v>-1.7059967645259164</v>
      </c>
      <c r="E142">
        <f>32301*(SIN(RADIANS(0.85)))</f>
        <v>479.17740426914457</v>
      </c>
      <c r="G142">
        <f>(-118*(SIN(RADIANS(0.85))))*-1</f>
        <v>1.7505010279483317</v>
      </c>
      <c r="J142">
        <f>((-118*(SIN(RADIANS(0.85))))*-1)*1.2</f>
        <v>2.100601233537998</v>
      </c>
      <c r="K142">
        <f t="shared" si="2"/>
        <v>2</v>
      </c>
    </row>
    <row r="143" spans="1:11" x14ac:dyDescent="0.3">
      <c r="A143">
        <v>32183</v>
      </c>
      <c r="B143">
        <v>-119</v>
      </c>
      <c r="D143">
        <f>-118*(SIN(RADIANS(0.85)))</f>
        <v>-1.7505010279483317</v>
      </c>
      <c r="E143">
        <f>32183*(SIN(RADIANS(0.85)))</f>
        <v>477.42690324119627</v>
      </c>
      <c r="G143">
        <f>(-119*(SIN(RADIANS(0.85))))*-1</f>
        <v>1.76533578242247</v>
      </c>
      <c r="J143">
        <f>((-119*(SIN(RADIANS(0.85))))*-1)*1.2</f>
        <v>2.1184029389069639</v>
      </c>
      <c r="K143">
        <f t="shared" si="2"/>
        <v>2</v>
      </c>
    </row>
    <row r="144" spans="1:11" x14ac:dyDescent="0.3">
      <c r="A144">
        <v>32063</v>
      </c>
      <c r="B144">
        <v>-120</v>
      </c>
      <c r="D144">
        <f>-119*(SIN(RADIANS(0.85)))</f>
        <v>-1.76533578242247</v>
      </c>
      <c r="E144">
        <f>32063*(SIN(RADIANS(0.85)))</f>
        <v>475.64673270429967</v>
      </c>
      <c r="G144">
        <f>(-120*(SIN(RADIANS(0.85))))*-1</f>
        <v>1.7801705368966085</v>
      </c>
      <c r="J144">
        <f>((-120*(SIN(RADIANS(0.85))))*-1)*1.2</f>
        <v>2.1362046442759302</v>
      </c>
      <c r="K144">
        <f t="shared" si="2"/>
        <v>2</v>
      </c>
    </row>
    <row r="145" spans="1:11" x14ac:dyDescent="0.3">
      <c r="A145">
        <v>31944</v>
      </c>
      <c r="B145">
        <v>-122</v>
      </c>
      <c r="D145">
        <f>-120*(SIN(RADIANS(0.85)))</f>
        <v>-1.7801705368966085</v>
      </c>
      <c r="E145">
        <f>31944*(SIN(RADIANS(0.85)))</f>
        <v>473.88139692187718</v>
      </c>
      <c r="G145">
        <f>(-122*(SIN(RADIANS(0.85))))*-1</f>
        <v>1.8098400458448853</v>
      </c>
      <c r="J145">
        <f>((-122*(SIN(RADIANS(0.85))))*-1)*1.2</f>
        <v>2.1718080550138623</v>
      </c>
      <c r="K145">
        <f t="shared" si="2"/>
        <v>2</v>
      </c>
    </row>
    <row r="146" spans="1:11" x14ac:dyDescent="0.3">
      <c r="A146">
        <v>31821</v>
      </c>
      <c r="B146">
        <v>-126</v>
      </c>
      <c r="D146">
        <f>-122*(SIN(RADIANS(0.85)))</f>
        <v>-1.8098400458448853</v>
      </c>
      <c r="E146">
        <f>31821*(SIN(RADIANS(0.85)))</f>
        <v>472.05672212155815</v>
      </c>
      <c r="G146">
        <f>(-126*(SIN(RADIANS(0.85))))*-1</f>
        <v>1.8691790637414389</v>
      </c>
      <c r="J146">
        <f>((-126*(SIN(RADIANS(0.85))))*-1)*1.2</f>
        <v>2.2430148764897266</v>
      </c>
      <c r="K146">
        <f t="shared" si="2"/>
        <v>2</v>
      </c>
    </row>
    <row r="147" spans="1:11" x14ac:dyDescent="0.3">
      <c r="A147">
        <v>31695</v>
      </c>
      <c r="B147">
        <v>-127</v>
      </c>
      <c r="D147">
        <f>-126*(SIN(RADIANS(0.85)))</f>
        <v>-1.8691790637414389</v>
      </c>
      <c r="E147">
        <f>31695*(SIN(RADIANS(0.85)))</f>
        <v>470.1875430578167</v>
      </c>
      <c r="G147">
        <f>(-127*(SIN(RADIANS(0.85))))*-1</f>
        <v>1.8840138182155772</v>
      </c>
      <c r="J147">
        <f>((-127*(SIN(RADIANS(0.85))))*-1)*1.2</f>
        <v>2.2608165818586925</v>
      </c>
      <c r="K147">
        <f t="shared" si="2"/>
        <v>2</v>
      </c>
    </row>
    <row r="148" spans="1:11" x14ac:dyDescent="0.3">
      <c r="A148">
        <v>31569</v>
      </c>
      <c r="B148">
        <v>-127</v>
      </c>
      <c r="D148">
        <f>-127*(SIN(RADIANS(0.85)))</f>
        <v>-1.8840138182155772</v>
      </c>
      <c r="E148">
        <f>31569*(SIN(RADIANS(0.85)))</f>
        <v>468.3183639940753</v>
      </c>
      <c r="G148">
        <f>(-127*(SIN(RADIANS(0.85))))*-1</f>
        <v>1.8840138182155772</v>
      </c>
      <c r="J148">
        <f>((-127*(SIN(RADIANS(0.85))))*-1)*1.2</f>
        <v>2.2608165818586925</v>
      </c>
      <c r="K148">
        <f t="shared" si="2"/>
        <v>2</v>
      </c>
    </row>
    <row r="149" spans="1:11" x14ac:dyDescent="0.3">
      <c r="A149">
        <v>31441</v>
      </c>
      <c r="B149">
        <v>-131</v>
      </c>
      <c r="D149">
        <f>-127*(SIN(RADIANS(0.85)))</f>
        <v>-1.8840138182155772</v>
      </c>
      <c r="E149">
        <f>31441*(SIN(RADIANS(0.85)))</f>
        <v>466.41951542138554</v>
      </c>
      <c r="G149">
        <f>(-131*(SIN(RADIANS(0.85))))*-1</f>
        <v>1.9433528361121311</v>
      </c>
      <c r="J149">
        <f>((-131*(SIN(RADIANS(0.85))))*-1)*1.2</f>
        <v>2.3320234033345573</v>
      </c>
      <c r="K149">
        <f t="shared" si="2"/>
        <v>2</v>
      </c>
    </row>
    <row r="150" spans="1:11" x14ac:dyDescent="0.3">
      <c r="A150">
        <v>31310</v>
      </c>
      <c r="B150">
        <v>-133</v>
      </c>
      <c r="D150">
        <f>-131*(SIN(RADIANS(0.85)))</f>
        <v>-1.9433528361121311</v>
      </c>
      <c r="E150">
        <f>31310*(SIN(RADIANS(0.85)))</f>
        <v>464.47616258527341</v>
      </c>
      <c r="G150">
        <f>(-133*(SIN(RADIANS(0.85))))*-1</f>
        <v>1.9730223450604079</v>
      </c>
      <c r="J150">
        <f>((-133*(SIN(RADIANS(0.85))))*-1)*1.2</f>
        <v>2.3676268140724894</v>
      </c>
      <c r="K150">
        <f t="shared" si="2"/>
        <v>2</v>
      </c>
    </row>
    <row r="151" spans="1:11" x14ac:dyDescent="0.3">
      <c r="A151">
        <v>31178</v>
      </c>
      <c r="B151">
        <v>-133</v>
      </c>
      <c r="D151">
        <f>-133*(SIN(RADIANS(0.85)))</f>
        <v>-1.9730223450604079</v>
      </c>
      <c r="E151">
        <f>31178*(SIN(RADIANS(0.85)))</f>
        <v>462.51797499468717</v>
      </c>
      <c r="G151">
        <f>(-133*(SIN(RADIANS(0.85))))*-1</f>
        <v>1.9730223450604079</v>
      </c>
      <c r="J151">
        <f>((-133*(SIN(RADIANS(0.85))))*-1)*1.2</f>
        <v>2.3676268140724894</v>
      </c>
      <c r="K151">
        <f t="shared" si="2"/>
        <v>2</v>
      </c>
    </row>
    <row r="152" spans="1:11" x14ac:dyDescent="0.3">
      <c r="A152">
        <v>31044</v>
      </c>
      <c r="B152">
        <v>-135</v>
      </c>
      <c r="D152">
        <f>-133*(SIN(RADIANS(0.85)))</f>
        <v>-1.9730223450604079</v>
      </c>
      <c r="E152">
        <f>31044*(SIN(RADIANS(0.85)))</f>
        <v>460.53011789515261</v>
      </c>
      <c r="G152">
        <f>(-135*(SIN(RADIANS(0.85))))*-1</f>
        <v>2.0026918540086847</v>
      </c>
      <c r="J152">
        <f>((-135*(SIN(RADIANS(0.85))))*-1)*1.2</f>
        <v>2.4032302248104216</v>
      </c>
      <c r="K152">
        <f t="shared" si="2"/>
        <v>2</v>
      </c>
    </row>
    <row r="153" spans="1:11" x14ac:dyDescent="0.3">
      <c r="A153">
        <v>30909</v>
      </c>
      <c r="B153">
        <v>-139</v>
      </c>
      <c r="D153">
        <f>-135*(SIN(RADIANS(0.85)))</f>
        <v>-2.0026918540086847</v>
      </c>
      <c r="E153">
        <f>30909*(SIN(RADIANS(0.85)))</f>
        <v>458.52742604114394</v>
      </c>
      <c r="G153">
        <f>(-139*(SIN(RADIANS(0.85))))*-1</f>
        <v>2.0620308719052383</v>
      </c>
      <c r="J153">
        <f>((-139*(SIN(RADIANS(0.85))))*-1)*1.2</f>
        <v>2.4744370462862859</v>
      </c>
      <c r="K153">
        <f t="shared" si="2"/>
        <v>2</v>
      </c>
    </row>
    <row r="154" spans="1:11" x14ac:dyDescent="0.3">
      <c r="A154">
        <v>30770</v>
      </c>
      <c r="B154">
        <v>-139</v>
      </c>
      <c r="D154">
        <f>-139*(SIN(RADIANS(0.85)))</f>
        <v>-2.0620308719052383</v>
      </c>
      <c r="E154">
        <f>30770*(SIN(RADIANS(0.85)))</f>
        <v>456.46539516923872</v>
      </c>
      <c r="G154">
        <f>(-139*(SIN(RADIANS(0.85))))*-1</f>
        <v>2.0620308719052383</v>
      </c>
      <c r="J154">
        <f>((-139*(SIN(RADIANS(0.85))))*-1)*1.2</f>
        <v>2.4744370462862859</v>
      </c>
      <c r="K154">
        <f t="shared" si="2"/>
        <v>2</v>
      </c>
    </row>
    <row r="155" spans="1:11" x14ac:dyDescent="0.3">
      <c r="A155">
        <v>30631</v>
      </c>
      <c r="B155">
        <v>-141</v>
      </c>
      <c r="D155">
        <f>-139*(SIN(RADIANS(0.85)))</f>
        <v>-2.0620308719052383</v>
      </c>
      <c r="E155">
        <f>30631*(SIN(RADIANS(0.85)))</f>
        <v>454.40336429733344</v>
      </c>
      <c r="G155">
        <f>(-141*(SIN(RADIANS(0.85))))*-1</f>
        <v>2.0917003808535148</v>
      </c>
      <c r="J155">
        <f>((-141*(SIN(RADIANS(0.85))))*-1)*1.2</f>
        <v>2.5100404570242176</v>
      </c>
      <c r="K155">
        <f t="shared" si="2"/>
        <v>3</v>
      </c>
    </row>
    <row r="156" spans="1:11" x14ac:dyDescent="0.3">
      <c r="A156">
        <v>30491</v>
      </c>
      <c r="B156">
        <v>-145</v>
      </c>
      <c r="D156">
        <f>-141*(SIN(RADIANS(0.85)))</f>
        <v>-2.0917003808535148</v>
      </c>
      <c r="E156">
        <f>30491*(SIN(RADIANS(0.85)))</f>
        <v>452.32649867095409</v>
      </c>
      <c r="G156">
        <f>(-145*(SIN(RADIANS(0.85))))*-1</f>
        <v>2.1510393987500684</v>
      </c>
      <c r="J156">
        <f>((-145*(SIN(RADIANS(0.85))))*-1)*1.2</f>
        <v>2.581247278500082</v>
      </c>
      <c r="K156">
        <f t="shared" si="2"/>
        <v>3</v>
      </c>
    </row>
    <row r="157" spans="1:11" x14ac:dyDescent="0.3">
      <c r="A157">
        <v>30346</v>
      </c>
      <c r="B157">
        <v>-146</v>
      </c>
      <c r="D157">
        <f>-145*(SIN(RADIANS(0.85)))</f>
        <v>-2.1510393987500684</v>
      </c>
      <c r="E157">
        <f>30346*(SIN(RADIANS(0.85)))</f>
        <v>450.17545927220402</v>
      </c>
      <c r="G157">
        <f>(-146*(SIN(RADIANS(0.85))))*-1</f>
        <v>2.1658741532242072</v>
      </c>
      <c r="J157">
        <f>((-146*(SIN(RADIANS(0.85))))*-1)*1.2</f>
        <v>2.5990489838690487</v>
      </c>
      <c r="K157">
        <f t="shared" si="2"/>
        <v>3</v>
      </c>
    </row>
    <row r="158" spans="1:11" x14ac:dyDescent="0.3">
      <c r="A158">
        <v>30200</v>
      </c>
      <c r="B158">
        <v>-145</v>
      </c>
      <c r="D158">
        <f>-146*(SIN(RADIANS(0.85)))</f>
        <v>-2.1658741532242072</v>
      </c>
      <c r="E158">
        <f>30200*(SIN(RADIANS(0.85)))</f>
        <v>448.00958511897983</v>
      </c>
      <c r="G158">
        <f>(-145*(SIN(RADIANS(0.85))))*-1</f>
        <v>2.1510393987500684</v>
      </c>
      <c r="J158">
        <f>((-145*(SIN(RADIANS(0.85))))*-1)*1.2</f>
        <v>2.581247278500082</v>
      </c>
      <c r="K158">
        <f t="shared" si="2"/>
        <v>3</v>
      </c>
    </row>
    <row r="159" spans="1:11" x14ac:dyDescent="0.3">
      <c r="A159">
        <v>30054</v>
      </c>
      <c r="B159">
        <v>-149</v>
      </c>
      <c r="D159">
        <f>-145*(SIN(RADIANS(0.85)))</f>
        <v>-2.1510393987500684</v>
      </c>
      <c r="E159">
        <f>30054*(SIN(RADIANS(0.85)))</f>
        <v>445.84371096575558</v>
      </c>
      <c r="G159">
        <f>(-149*(SIN(RADIANS(0.85))))*-1</f>
        <v>2.210378416646622</v>
      </c>
      <c r="J159">
        <f>((-149*(SIN(RADIANS(0.85))))*-1)*1.2</f>
        <v>2.6524540999759463</v>
      </c>
      <c r="K159">
        <f t="shared" si="2"/>
        <v>3</v>
      </c>
    </row>
    <row r="160" spans="1:11" x14ac:dyDescent="0.3">
      <c r="A160">
        <v>29905</v>
      </c>
      <c r="B160">
        <v>-153</v>
      </c>
      <c r="D160">
        <f>-149*(SIN(RADIANS(0.85)))</f>
        <v>-2.210378416646622</v>
      </c>
      <c r="E160">
        <f>29905*(SIN(RADIANS(0.85)))</f>
        <v>443.63333254910896</v>
      </c>
      <c r="G160">
        <f>(-153*(SIN(RADIANS(0.85))))*-1</f>
        <v>2.2697174345431756</v>
      </c>
      <c r="J160">
        <f>((-153*(SIN(RADIANS(0.85))))*-1)*1.2</f>
        <v>2.7236609214518106</v>
      </c>
      <c r="K160">
        <f t="shared" si="2"/>
        <v>3</v>
      </c>
    </row>
    <row r="161" spans="1:11" x14ac:dyDescent="0.3">
      <c r="A161">
        <v>29752</v>
      </c>
      <c r="B161">
        <v>-153</v>
      </c>
      <c r="D161">
        <f>-153*(SIN(RADIANS(0.85)))</f>
        <v>-2.2697174345431756</v>
      </c>
      <c r="E161">
        <f>29752*(SIN(RADIANS(0.85)))</f>
        <v>441.36361511456579</v>
      </c>
      <c r="G161">
        <f>(-153*(SIN(RADIANS(0.85))))*-1</f>
        <v>2.2697174345431756</v>
      </c>
      <c r="J161">
        <f>((-153*(SIN(RADIANS(0.85))))*-1)*1.2</f>
        <v>2.7236609214518106</v>
      </c>
      <c r="K161">
        <f t="shared" si="2"/>
        <v>3</v>
      </c>
    </row>
    <row r="162" spans="1:11" x14ac:dyDescent="0.3">
      <c r="A162">
        <v>29599</v>
      </c>
      <c r="B162">
        <v>-153</v>
      </c>
      <c r="D162">
        <f>-153*(SIN(RADIANS(0.85)))</f>
        <v>-2.2697174345431756</v>
      </c>
      <c r="E162">
        <f>29599*(SIN(RADIANS(0.85)))</f>
        <v>439.09389768002262</v>
      </c>
      <c r="G162">
        <f>(-153*(SIN(RADIANS(0.85))))*-1</f>
        <v>2.2697174345431756</v>
      </c>
      <c r="J162">
        <f>((-153*(SIN(RADIANS(0.85))))*-1)*1.2</f>
        <v>2.7236609214518106</v>
      </c>
      <c r="K162">
        <f t="shared" si="2"/>
        <v>3</v>
      </c>
    </row>
    <row r="163" spans="1:11" x14ac:dyDescent="0.3">
      <c r="A163">
        <v>29446</v>
      </c>
      <c r="B163">
        <v>-159</v>
      </c>
      <c r="D163">
        <f>-153*(SIN(RADIANS(0.85)))</f>
        <v>-2.2697174345431756</v>
      </c>
      <c r="E163">
        <f>29446*(SIN(RADIANS(0.85)))</f>
        <v>436.82418024547945</v>
      </c>
      <c r="G163">
        <f>(-159*(SIN(RADIANS(0.85))))*-1</f>
        <v>2.3587259613880063</v>
      </c>
      <c r="J163">
        <f>((-159*(SIN(RADIANS(0.85))))*-1)*1.2</f>
        <v>2.8304711536656075</v>
      </c>
      <c r="K163">
        <f t="shared" si="2"/>
        <v>3</v>
      </c>
    </row>
    <row r="164" spans="1:11" x14ac:dyDescent="0.3">
      <c r="A164">
        <v>29288</v>
      </c>
      <c r="B164">
        <v>-159</v>
      </c>
      <c r="D164">
        <f>-159*(SIN(RADIANS(0.85)))</f>
        <v>-2.3587259613880063</v>
      </c>
      <c r="E164">
        <f>29288*(SIN(RADIANS(0.85)))</f>
        <v>434.48028903856556</v>
      </c>
      <c r="G164">
        <f>(-159*(SIN(RADIANS(0.85))))*-1</f>
        <v>2.3587259613880063</v>
      </c>
      <c r="J164">
        <f>((-159*(SIN(RADIANS(0.85))))*-1)*1.2</f>
        <v>2.8304711536656075</v>
      </c>
      <c r="K164">
        <f t="shared" si="2"/>
        <v>3</v>
      </c>
    </row>
    <row r="165" spans="1:11" x14ac:dyDescent="0.3">
      <c r="A165">
        <v>29128</v>
      </c>
      <c r="B165">
        <v>-160</v>
      </c>
      <c r="D165">
        <f>-159*(SIN(RADIANS(0.85)))</f>
        <v>-2.3587259613880063</v>
      </c>
      <c r="E165">
        <f>29128*(SIN(RADIANS(0.85)))</f>
        <v>432.10672832270342</v>
      </c>
      <c r="G165">
        <f>(-160*(SIN(RADIANS(0.85))))*-1</f>
        <v>2.3735607158621446</v>
      </c>
      <c r="J165">
        <f>((-160*(SIN(RADIANS(0.85))))*-1)*1.2</f>
        <v>2.8482728590345734</v>
      </c>
      <c r="K165">
        <f t="shared" si="2"/>
        <v>3</v>
      </c>
    </row>
    <row r="166" spans="1:11" x14ac:dyDescent="0.3">
      <c r="A166">
        <v>28969</v>
      </c>
      <c r="B166">
        <v>-162</v>
      </c>
      <c r="D166">
        <f>-160*(SIN(RADIANS(0.85)))</f>
        <v>-2.3735607158621446</v>
      </c>
      <c r="E166">
        <f>28969*(SIN(RADIANS(0.85)))</f>
        <v>429.74800236131546</v>
      </c>
      <c r="G166">
        <f>(-162*(SIN(RADIANS(0.85))))*-1</f>
        <v>2.4032302248104216</v>
      </c>
      <c r="J166">
        <f>((-162*(SIN(RADIANS(0.85))))*-1)*1.2</f>
        <v>2.883876269772506</v>
      </c>
      <c r="K166">
        <f t="shared" si="2"/>
        <v>3</v>
      </c>
    </row>
    <row r="167" spans="1:11" x14ac:dyDescent="0.3">
      <c r="A167">
        <v>28806</v>
      </c>
      <c r="B167">
        <v>-166</v>
      </c>
      <c r="D167">
        <f>-162*(SIN(RADIANS(0.85)))</f>
        <v>-2.4032302248104216</v>
      </c>
      <c r="E167">
        <f>28806*(SIN(RADIANS(0.85)))</f>
        <v>427.32993738203089</v>
      </c>
      <c r="G167">
        <f>(-166*(SIN(RADIANS(0.85))))*-1</f>
        <v>2.4625692427069752</v>
      </c>
      <c r="J167">
        <f>((-166*(SIN(RADIANS(0.85))))*-1)*1.2</f>
        <v>2.9550830912483703</v>
      </c>
      <c r="K167">
        <f t="shared" si="2"/>
        <v>3</v>
      </c>
    </row>
    <row r="168" spans="1:11" x14ac:dyDescent="0.3">
      <c r="A168">
        <v>28641</v>
      </c>
      <c r="B168">
        <v>-166</v>
      </c>
      <c r="D168">
        <f>-166*(SIN(RADIANS(0.85)))</f>
        <v>-2.4625692427069752</v>
      </c>
      <c r="E168">
        <f>28641*(SIN(RADIANS(0.85)))</f>
        <v>424.88220289379802</v>
      </c>
      <c r="G168">
        <f>(-166*(SIN(RADIANS(0.85))))*-1</f>
        <v>2.4625692427069752</v>
      </c>
      <c r="J168">
        <f>((-166*(SIN(RADIANS(0.85))))*-1)*1.2</f>
        <v>2.9550830912483703</v>
      </c>
      <c r="K168">
        <f t="shared" si="2"/>
        <v>3</v>
      </c>
    </row>
    <row r="169" spans="1:11" x14ac:dyDescent="0.3">
      <c r="A169">
        <v>28474</v>
      </c>
      <c r="B169">
        <v>-167</v>
      </c>
      <c r="D169">
        <f>-166*(SIN(RADIANS(0.85)))</f>
        <v>-2.4625692427069752</v>
      </c>
      <c r="E169">
        <f>28474*(SIN(RADIANS(0.85)))</f>
        <v>422.40479889661691</v>
      </c>
      <c r="G169">
        <f>(-167*(SIN(RADIANS(0.85))))*-1</f>
        <v>2.4774039971811135</v>
      </c>
      <c r="J169">
        <f>((-167*(SIN(RADIANS(0.85))))*-1)*1.2</f>
        <v>2.9728847966173362</v>
      </c>
      <c r="K169">
        <f t="shared" si="2"/>
        <v>3</v>
      </c>
    </row>
    <row r="170" spans="1:11" x14ac:dyDescent="0.3">
      <c r="A170">
        <v>28307</v>
      </c>
      <c r="B170">
        <v>-172</v>
      </c>
      <c r="D170">
        <f>-167*(SIN(RADIANS(0.85)))</f>
        <v>-2.4774039971811135</v>
      </c>
      <c r="E170">
        <f>28307*(SIN(RADIANS(0.85)))</f>
        <v>419.9273948994358</v>
      </c>
      <c r="G170">
        <f>(-172*(SIN(RADIANS(0.85))))*-1</f>
        <v>2.5515777695518054</v>
      </c>
      <c r="J170">
        <f>((-172*(SIN(RADIANS(0.85))))*-1)*1.2</f>
        <v>3.0618933234621664</v>
      </c>
      <c r="K170">
        <f t="shared" si="2"/>
        <v>3</v>
      </c>
    </row>
    <row r="171" spans="1:11" x14ac:dyDescent="0.3">
      <c r="A171">
        <v>28135</v>
      </c>
      <c r="B171">
        <v>-172</v>
      </c>
      <c r="D171">
        <f>-172*(SIN(RADIANS(0.85)))</f>
        <v>-2.5515777695518054</v>
      </c>
      <c r="E171">
        <f>28135*(SIN(RADIANS(0.85)))</f>
        <v>417.37581712988401</v>
      </c>
      <c r="G171">
        <f>(-172*(SIN(RADIANS(0.85))))*-1</f>
        <v>2.5515777695518054</v>
      </c>
      <c r="J171">
        <f>((-172*(SIN(RADIANS(0.85))))*-1)*1.2</f>
        <v>3.0618933234621664</v>
      </c>
      <c r="K171">
        <f t="shared" si="2"/>
        <v>3</v>
      </c>
    </row>
    <row r="172" spans="1:11" x14ac:dyDescent="0.3">
      <c r="A172">
        <v>27963</v>
      </c>
      <c r="B172">
        <v>-174</v>
      </c>
      <c r="D172">
        <f>-172*(SIN(RADIANS(0.85)))</f>
        <v>-2.5515777695518054</v>
      </c>
      <c r="E172">
        <f>27963*(SIN(RADIANS(0.85)))</f>
        <v>414.82423936033217</v>
      </c>
      <c r="G172">
        <f>(-174*(SIN(RADIANS(0.85))))*-1</f>
        <v>2.5812472785000824</v>
      </c>
      <c r="J172">
        <f>((-174*(SIN(RADIANS(0.85))))*-1)*1.2</f>
        <v>3.097496734200099</v>
      </c>
      <c r="K172">
        <f t="shared" si="2"/>
        <v>3</v>
      </c>
    </row>
    <row r="173" spans="1:11" x14ac:dyDescent="0.3">
      <c r="A173">
        <v>27789</v>
      </c>
      <c r="B173">
        <v>-189</v>
      </c>
      <c r="D173">
        <f>-174*(SIN(RADIANS(0.85)))</f>
        <v>-2.5812472785000824</v>
      </c>
      <c r="E173">
        <f>27789*(SIN(RADIANS(0.85)))</f>
        <v>412.24299208183214</v>
      </c>
      <c r="G173">
        <f>(-189*(SIN(RADIANS(0.85))))*-1</f>
        <v>2.8037685956121585</v>
      </c>
      <c r="J173">
        <f>((-189*(SIN(RADIANS(0.85))))*-1)*1.2</f>
        <v>3.36452231473459</v>
      </c>
      <c r="K173">
        <f t="shared" si="2"/>
        <v>3</v>
      </c>
    </row>
    <row r="174" spans="1:11" x14ac:dyDescent="0.3">
      <c r="A174">
        <v>27600</v>
      </c>
      <c r="B174">
        <v>-201</v>
      </c>
      <c r="D174">
        <f>-189*(SIN(RADIANS(0.85)))</f>
        <v>-2.8037685956121585</v>
      </c>
      <c r="E174">
        <f>27600*(SIN(RADIANS(0.85)))</f>
        <v>409.43922348621993</v>
      </c>
      <c r="G174">
        <f>(-201*(SIN(RADIANS(0.85))))*-1</f>
        <v>2.9817856493018193</v>
      </c>
      <c r="J174">
        <f>((-201*(SIN(RADIANS(0.85))))*-1)*1.2</f>
        <v>3.5781427791621829</v>
      </c>
      <c r="K174">
        <f t="shared" si="2"/>
        <v>4</v>
      </c>
    </row>
    <row r="175" spans="1:11" x14ac:dyDescent="0.3">
      <c r="A175">
        <v>27399</v>
      </c>
      <c r="B175">
        <v>-209</v>
      </c>
      <c r="D175">
        <f>-201*(SIN(RADIANS(0.85)))</f>
        <v>-2.9817856493018193</v>
      </c>
      <c r="E175">
        <f>27399*(SIN(RADIANS(0.85)))</f>
        <v>406.45743783691813</v>
      </c>
      <c r="G175">
        <f>(-209*(SIN(RADIANS(0.85))))*-1</f>
        <v>3.1004636850949265</v>
      </c>
      <c r="J175">
        <f>((-209*(SIN(RADIANS(0.85))))*-1)*1.2</f>
        <v>3.7205564221139116</v>
      </c>
      <c r="K175">
        <f t="shared" si="2"/>
        <v>4</v>
      </c>
    </row>
    <row r="176" spans="1:11" x14ac:dyDescent="0.3">
      <c r="A176">
        <v>27190</v>
      </c>
      <c r="B176">
        <v>-216</v>
      </c>
      <c r="D176">
        <f>-209*(SIN(RADIANS(0.85)))</f>
        <v>-3.1004636850949265</v>
      </c>
      <c r="E176">
        <f>27190*(SIN(RADIANS(0.85)))</f>
        <v>403.35697415182324</v>
      </c>
      <c r="G176">
        <f>(-216*(SIN(RADIANS(0.85))))*-1</f>
        <v>3.2043069664138955</v>
      </c>
      <c r="J176">
        <f>((-216*(SIN(RADIANS(0.85))))*-1)*1.2</f>
        <v>3.8451683596966744</v>
      </c>
      <c r="K176">
        <f t="shared" si="2"/>
        <v>4</v>
      </c>
    </row>
    <row r="177" spans="1:11" x14ac:dyDescent="0.3">
      <c r="A177">
        <v>26974</v>
      </c>
      <c r="B177">
        <v>-222</v>
      </c>
      <c r="D177">
        <f>-216*(SIN(RADIANS(0.85)))</f>
        <v>-3.2043069664138955</v>
      </c>
      <c r="E177">
        <f>26974*(SIN(RADIANS(0.85)))</f>
        <v>400.15266718540931</v>
      </c>
      <c r="G177">
        <f>(-222*(SIN(RADIANS(0.85))))*-1</f>
        <v>3.2933154932587256</v>
      </c>
      <c r="J177">
        <f>((-222*(SIN(RADIANS(0.85))))*-1)*1.2</f>
        <v>3.9519785919104704</v>
      </c>
      <c r="K177">
        <f t="shared" si="2"/>
        <v>4</v>
      </c>
    </row>
    <row r="178" spans="1:11" x14ac:dyDescent="0.3">
      <c r="A178">
        <v>26751</v>
      </c>
      <c r="B178">
        <v>-230</v>
      </c>
      <c r="D178">
        <f>-222*(SIN(RADIANS(0.85)))</f>
        <v>-3.2933154932587256</v>
      </c>
      <c r="E178">
        <f>26751*(SIN(RADIANS(0.85)))</f>
        <v>396.84451693767647</v>
      </c>
      <c r="G178">
        <f>(-230*(SIN(RADIANS(0.85))))*-1</f>
        <v>3.4119935290518328</v>
      </c>
      <c r="J178">
        <f>((-230*(SIN(RADIANS(0.85))))*-1)*1.2</f>
        <v>4.0943922348621991</v>
      </c>
      <c r="K178">
        <f t="shared" si="2"/>
        <v>4</v>
      </c>
    </row>
    <row r="179" spans="1:11" x14ac:dyDescent="0.3">
      <c r="A179">
        <v>26522</v>
      </c>
      <c r="B179">
        <v>-238</v>
      </c>
      <c r="D179">
        <f>-230*(SIN(RADIANS(0.85)))</f>
        <v>-3.4119935290518328</v>
      </c>
      <c r="E179">
        <f>26522*(SIN(RADIANS(0.85)))</f>
        <v>393.44735816309878</v>
      </c>
      <c r="G179">
        <f>(-238*(SIN(RADIANS(0.85))))*-1</f>
        <v>3.53067156484494</v>
      </c>
      <c r="J179">
        <f>((-238*(SIN(RADIANS(0.85))))*-1)*1.2</f>
        <v>4.2368058778139277</v>
      </c>
      <c r="K179">
        <f t="shared" si="2"/>
        <v>4</v>
      </c>
    </row>
    <row r="180" spans="1:11" x14ac:dyDescent="0.3">
      <c r="A180">
        <v>26284</v>
      </c>
      <c r="B180">
        <v>-245</v>
      </c>
      <c r="D180">
        <f>-238*(SIN(RADIANS(0.85)))</f>
        <v>-3.53067156484494</v>
      </c>
      <c r="E180">
        <f>26284*(SIN(RADIANS(0.85)))</f>
        <v>389.91668659825382</v>
      </c>
      <c r="G180">
        <f>(-245*(SIN(RADIANS(0.85))))*-1</f>
        <v>3.634514846163909</v>
      </c>
      <c r="J180">
        <f>((-245*(SIN(RADIANS(0.85))))*-1)*1.2</f>
        <v>4.3614178153966909</v>
      </c>
      <c r="K180">
        <f t="shared" si="2"/>
        <v>4</v>
      </c>
    </row>
    <row r="181" spans="1:11" x14ac:dyDescent="0.3">
      <c r="A181">
        <v>26039</v>
      </c>
      <c r="B181">
        <v>-253</v>
      </c>
      <c r="D181">
        <f>-245*(SIN(RADIANS(0.85)))</f>
        <v>-3.634514846163909</v>
      </c>
      <c r="E181">
        <f>26039*(SIN(RADIANS(0.85)))</f>
        <v>386.28217175208988</v>
      </c>
      <c r="G181">
        <f>(-253*(SIN(RADIANS(0.85))))*-1</f>
        <v>3.7531928819570162</v>
      </c>
      <c r="J181">
        <f>((-253*(SIN(RADIANS(0.85))))*-1)*1.2</f>
        <v>4.5038314583484196</v>
      </c>
      <c r="K181">
        <f t="shared" si="2"/>
        <v>5</v>
      </c>
    </row>
    <row r="182" spans="1:11" x14ac:dyDescent="0.3">
      <c r="A182">
        <v>25786</v>
      </c>
      <c r="B182">
        <v>-259</v>
      </c>
      <c r="D182">
        <f>-253*(SIN(RADIANS(0.85)))</f>
        <v>-3.7531928819570162</v>
      </c>
      <c r="E182">
        <f>25786*(SIN(RADIANS(0.85)))</f>
        <v>382.5289788701329</v>
      </c>
      <c r="G182">
        <f>(-259*(SIN(RADIANS(0.85))))*-1</f>
        <v>3.8422014088018468</v>
      </c>
      <c r="J182">
        <f>((-259*(SIN(RADIANS(0.85))))*-1)*1.2</f>
        <v>4.6106416905622156</v>
      </c>
      <c r="K182">
        <f t="shared" si="2"/>
        <v>5</v>
      </c>
    </row>
    <row r="183" spans="1:11" x14ac:dyDescent="0.3">
      <c r="A183">
        <v>25527</v>
      </c>
      <c r="B183">
        <v>-268</v>
      </c>
      <c r="D183">
        <f>-259*(SIN(RADIANS(0.85)))</f>
        <v>-3.8422014088018468</v>
      </c>
      <c r="E183">
        <f>25527*(SIN(RADIANS(0.85)))</f>
        <v>378.68677746133102</v>
      </c>
      <c r="G183">
        <f>(-268*(SIN(RADIANS(0.85))))*-1</f>
        <v>3.9757141990690923</v>
      </c>
      <c r="J183">
        <f>((-268*(SIN(RADIANS(0.85))))*-1)*1.2</f>
        <v>4.7708570388829106</v>
      </c>
      <c r="K183">
        <f t="shared" si="2"/>
        <v>5</v>
      </c>
    </row>
    <row r="184" spans="1:11" x14ac:dyDescent="0.3">
      <c r="A184">
        <v>25258</v>
      </c>
      <c r="B184">
        <v>-276</v>
      </c>
      <c r="D184">
        <f>-268*(SIN(RADIANS(0.85)))</f>
        <v>-3.9757141990690923</v>
      </c>
      <c r="E184">
        <f>25258*(SIN(RADIANS(0.85)))</f>
        <v>374.69622850778779</v>
      </c>
      <c r="G184">
        <f>(-276*(SIN(RADIANS(0.85))))*-1</f>
        <v>4.0943922348621999</v>
      </c>
      <c r="J184">
        <f>((-276*(SIN(RADIANS(0.85))))*-1)*1.2</f>
        <v>4.9132706818346401</v>
      </c>
      <c r="K184">
        <f t="shared" si="2"/>
        <v>5</v>
      </c>
    </row>
    <row r="185" spans="1:11" x14ac:dyDescent="0.3">
      <c r="A185">
        <v>24983</v>
      </c>
      <c r="B185">
        <v>-284</v>
      </c>
      <c r="D185">
        <f>-276*(SIN(RADIANS(0.85)))</f>
        <v>-4.0943922348621999</v>
      </c>
      <c r="E185">
        <f>24983*(SIN(RADIANS(0.85)))</f>
        <v>370.61667102739978</v>
      </c>
      <c r="G185">
        <f>(-284*(SIN(RADIANS(0.85))))*-1</f>
        <v>4.2130702706553071</v>
      </c>
      <c r="J185">
        <f>((-284*(SIN(RADIANS(0.85))))*-1)*1.2</f>
        <v>5.0556843247863688</v>
      </c>
      <c r="K185">
        <f t="shared" si="2"/>
        <v>5</v>
      </c>
    </row>
    <row r="186" spans="1:11" x14ac:dyDescent="0.3">
      <c r="A186">
        <v>24699</v>
      </c>
      <c r="B186">
        <v>-292</v>
      </c>
      <c r="D186">
        <f>-284*(SIN(RADIANS(0.85)))</f>
        <v>-4.2130702706553071</v>
      </c>
      <c r="E186">
        <f>24699*(SIN(RADIANS(0.85)))</f>
        <v>366.40360075674442</v>
      </c>
      <c r="G186">
        <f>(-292*(SIN(RADIANS(0.85))))*-1</f>
        <v>4.3317483064484144</v>
      </c>
      <c r="J186">
        <f>((-292*(SIN(RADIANS(0.85))))*-1)*1.2</f>
        <v>5.1980979677380974</v>
      </c>
      <c r="K186">
        <f t="shared" si="2"/>
        <v>5</v>
      </c>
    </row>
    <row r="187" spans="1:11" x14ac:dyDescent="0.3">
      <c r="A187">
        <v>24406</v>
      </c>
      <c r="B187">
        <v>-299</v>
      </c>
      <c r="D187">
        <f>-292*(SIN(RADIANS(0.85)))</f>
        <v>-4.3317483064484144</v>
      </c>
      <c r="E187">
        <f>24406*(SIN(RADIANS(0.85)))</f>
        <v>362.05701769582191</v>
      </c>
      <c r="G187">
        <f>(-299*(SIN(RADIANS(0.85))))*-1</f>
        <v>4.4355915877673828</v>
      </c>
      <c r="J187">
        <f>((-299*(SIN(RADIANS(0.85))))*-1)*1.2</f>
        <v>5.3227099053208589</v>
      </c>
      <c r="K187">
        <f t="shared" si="2"/>
        <v>5</v>
      </c>
    </row>
    <row r="188" spans="1:11" x14ac:dyDescent="0.3">
      <c r="A188">
        <v>24107</v>
      </c>
      <c r="B188">
        <v>-308</v>
      </c>
      <c r="D188">
        <f>-299*(SIN(RADIANS(0.85)))</f>
        <v>-4.4355915877673828</v>
      </c>
      <c r="E188">
        <f>24107*(SIN(RADIANS(0.85)))</f>
        <v>357.62142610805449</v>
      </c>
      <c r="G188">
        <f>(-308*(SIN(RADIANS(0.85))))*-1</f>
        <v>4.5691043780346288</v>
      </c>
      <c r="J188">
        <f>((-308*(SIN(RADIANS(0.85))))*-1)*1.2</f>
        <v>5.4829252536415547</v>
      </c>
      <c r="K188">
        <f t="shared" si="2"/>
        <v>5</v>
      </c>
    </row>
    <row r="189" spans="1:11" x14ac:dyDescent="0.3">
      <c r="A189">
        <v>23799</v>
      </c>
      <c r="B189">
        <v>-316</v>
      </c>
      <c r="D189">
        <f>-308*(SIN(RADIANS(0.85)))</f>
        <v>-4.5691043780346288</v>
      </c>
      <c r="E189">
        <f>23799*(SIN(RADIANS(0.85)))</f>
        <v>353.05232173001986</v>
      </c>
      <c r="G189">
        <f>(-316*(SIN(RADIANS(0.85))))*-1</f>
        <v>4.687782413827736</v>
      </c>
      <c r="J189">
        <f>((-316*(SIN(RADIANS(0.85))))*-1)*1.2</f>
        <v>5.6253388965932833</v>
      </c>
      <c r="K189">
        <f t="shared" si="2"/>
        <v>6</v>
      </c>
    </row>
    <row r="190" spans="1:11" x14ac:dyDescent="0.3">
      <c r="A190">
        <v>23483</v>
      </c>
      <c r="B190">
        <v>-324</v>
      </c>
      <c r="D190">
        <f>-316*(SIN(RADIANS(0.85)))</f>
        <v>-4.687782413827736</v>
      </c>
      <c r="E190">
        <f>23483*(SIN(RADIANS(0.85)))</f>
        <v>348.36453931619212</v>
      </c>
      <c r="G190">
        <f>(-324*(SIN(RADIANS(0.85))))*-1</f>
        <v>4.8064604496208432</v>
      </c>
      <c r="J190">
        <f>((-324*(SIN(RADIANS(0.85))))*-1)*1.2</f>
        <v>5.767752539545012</v>
      </c>
      <c r="K190">
        <f t="shared" si="2"/>
        <v>6</v>
      </c>
    </row>
    <row r="191" spans="1:11" x14ac:dyDescent="0.3">
      <c r="A191">
        <v>23159</v>
      </c>
      <c r="B191">
        <v>-333</v>
      </c>
      <c r="D191">
        <f>-324*(SIN(RADIANS(0.85)))</f>
        <v>-4.8064604496208432</v>
      </c>
      <c r="E191">
        <f>23159*(SIN(RADIANS(0.85)))</f>
        <v>343.55807886657129</v>
      </c>
      <c r="G191">
        <f>(-333*(SIN(RADIANS(0.85))))*-1</f>
        <v>4.9399732398880882</v>
      </c>
      <c r="J191">
        <f>((-333*(SIN(RADIANS(0.85))))*-1)*1.2</f>
        <v>5.9279678878657061</v>
      </c>
      <c r="K191">
        <f t="shared" si="2"/>
        <v>6</v>
      </c>
    </row>
    <row r="192" spans="1:11" x14ac:dyDescent="0.3">
      <c r="A192">
        <v>22827</v>
      </c>
      <c r="B192">
        <v>-341</v>
      </c>
      <c r="D192">
        <f>-333*(SIN(RADIANS(0.85)))</f>
        <v>-4.9399732398880882</v>
      </c>
      <c r="E192">
        <f>22827*(SIN(RADIANS(0.85)))</f>
        <v>338.63294038115737</v>
      </c>
      <c r="G192">
        <f>(-341*(SIN(RADIANS(0.85))))*-1</f>
        <v>5.0586512756811954</v>
      </c>
      <c r="J192">
        <f>((-341*(SIN(RADIANS(0.85))))*-1)*1.2</f>
        <v>6.0703815308174347</v>
      </c>
      <c r="K192">
        <f t="shared" si="2"/>
        <v>6</v>
      </c>
    </row>
    <row r="193" spans="1:11" x14ac:dyDescent="0.3">
      <c r="A193">
        <v>22485</v>
      </c>
      <c r="B193">
        <v>-350</v>
      </c>
      <c r="D193">
        <f>-341*(SIN(RADIANS(0.85)))</f>
        <v>-5.0586512756811954</v>
      </c>
      <c r="E193">
        <f>22485*(SIN(RADIANS(0.85)))</f>
        <v>333.55945435100205</v>
      </c>
      <c r="G193">
        <f>(-350*(SIN(RADIANS(0.85))))*-1</f>
        <v>5.1921640659484414</v>
      </c>
      <c r="J193">
        <f>((-350*(SIN(RADIANS(0.85))))*-1)*1.2</f>
        <v>6.2305968791381297</v>
      </c>
      <c r="K193">
        <f t="shared" si="2"/>
        <v>6</v>
      </c>
    </row>
    <row r="194" spans="1:11" x14ac:dyDescent="0.3">
      <c r="A194">
        <v>22136</v>
      </c>
      <c r="B194">
        <v>-357</v>
      </c>
      <c r="D194">
        <f>-350*(SIN(RADIANS(0.85)))</f>
        <v>-5.1921640659484414</v>
      </c>
      <c r="E194">
        <f>22136*(SIN(RADIANS(0.85)))</f>
        <v>328.38212503952769</v>
      </c>
      <c r="G194">
        <f>(-357*(SIN(RADIANS(0.85))))*-1</f>
        <v>5.2960073472674107</v>
      </c>
      <c r="J194">
        <f>((-357*(SIN(RADIANS(0.85))))*-1)*1.2</f>
        <v>6.3552088167208929</v>
      </c>
      <c r="K194">
        <f t="shared" si="2"/>
        <v>6</v>
      </c>
    </row>
    <row r="195" spans="1:11" x14ac:dyDescent="0.3">
      <c r="A195">
        <v>21778</v>
      </c>
      <c r="B195">
        <v>-368</v>
      </c>
      <c r="D195">
        <f>-357*(SIN(RADIANS(0.85)))</f>
        <v>-5.2960073472674107</v>
      </c>
      <c r="E195">
        <f>21778*(SIN(RADIANS(0.85)))</f>
        <v>323.07128293778618</v>
      </c>
      <c r="G195">
        <f>(-368*(SIN(RADIANS(0.85))))*-1</f>
        <v>5.4591896464829324</v>
      </c>
      <c r="J195">
        <f>((-368*(SIN(RADIANS(0.85))))*-1)*1.2</f>
        <v>6.5510275757795187</v>
      </c>
      <c r="K195">
        <f t="shared" ref="K195:K201" si="3">ROUND(J195, 0)</f>
        <v>7</v>
      </c>
    </row>
    <row r="196" spans="1:11" x14ac:dyDescent="0.3">
      <c r="A196">
        <v>21411</v>
      </c>
      <c r="B196">
        <v>-376</v>
      </c>
      <c r="D196">
        <f>-368*(SIN(RADIANS(0.85)))</f>
        <v>-5.4591896464829324</v>
      </c>
      <c r="E196">
        <f>21411*(SIN(RADIANS(0.85)))</f>
        <v>317.62692804577739</v>
      </c>
      <c r="G196">
        <f>(-376*(SIN(RADIANS(0.85))))*-1</f>
        <v>5.5778676822760396</v>
      </c>
      <c r="J196">
        <f>((-376*(SIN(RADIANS(0.85))))*-1)*1.2</f>
        <v>6.6934412187312473</v>
      </c>
      <c r="K196">
        <f t="shared" si="3"/>
        <v>7</v>
      </c>
    </row>
    <row r="197" spans="1:11" x14ac:dyDescent="0.3">
      <c r="A197">
        <v>21034</v>
      </c>
      <c r="B197">
        <v>-399</v>
      </c>
      <c r="D197">
        <f>-376*(SIN(RADIANS(0.85)))</f>
        <v>-5.5778676822760396</v>
      </c>
      <c r="E197">
        <f>21034*(SIN(RADIANS(0.85)))</f>
        <v>312.0342256090272</v>
      </c>
      <c r="G197">
        <f>(-399*(SIN(RADIANS(0.85))))*-1</f>
        <v>5.9190670351812233</v>
      </c>
      <c r="J197">
        <f>((-399*(SIN(RADIANS(0.85))))*-1)*1.2</f>
        <v>7.1028804422174678</v>
      </c>
      <c r="K197">
        <f t="shared" si="3"/>
        <v>7</v>
      </c>
    </row>
    <row r="198" spans="1:11" x14ac:dyDescent="0.3">
      <c r="A198">
        <v>20635</v>
      </c>
      <c r="B198">
        <v>-434</v>
      </c>
      <c r="D198">
        <f>-399*(SIN(RADIANS(0.85)))</f>
        <v>-5.9190670351812233</v>
      </c>
      <c r="E198">
        <f>20635*(SIN(RADIANS(0.85)))</f>
        <v>306.11515857384597</v>
      </c>
      <c r="G198">
        <f>(-434*(SIN(RADIANS(0.85))))*-1</f>
        <v>6.4382834417760675</v>
      </c>
      <c r="J198">
        <f>((-434*(SIN(RADIANS(0.85))))*-1)*1.2</f>
        <v>7.7259401301312804</v>
      </c>
      <c r="K198">
        <f t="shared" si="3"/>
        <v>8</v>
      </c>
    </row>
    <row r="199" spans="1:11" x14ac:dyDescent="0.3">
      <c r="A199">
        <v>20201</v>
      </c>
      <c r="B199">
        <v>-473</v>
      </c>
      <c r="D199">
        <f>-434*(SIN(RADIANS(0.85)))</f>
        <v>-6.4382834417760675</v>
      </c>
      <c r="E199">
        <f>20201*(SIN(RADIANS(0.85)))</f>
        <v>299.67687513206988</v>
      </c>
      <c r="G199">
        <f>(-473*(SIN(RADIANS(0.85))))*-1</f>
        <v>7.0168388662674648</v>
      </c>
      <c r="J199">
        <f>((-473*(SIN(RADIANS(0.85))))*-1)*1.2</f>
        <v>8.4202066395209574</v>
      </c>
      <c r="K199">
        <f t="shared" si="3"/>
        <v>8</v>
      </c>
    </row>
    <row r="200" spans="1:11" x14ac:dyDescent="0.3">
      <c r="A200">
        <v>19728</v>
      </c>
      <c r="B200">
        <v>-514</v>
      </c>
      <c r="D200">
        <f>-473*(SIN(RADIANS(0.85)))</f>
        <v>-7.0168388662674648</v>
      </c>
      <c r="E200">
        <f>19728*(SIN(RADIANS(0.85)))</f>
        <v>292.66003626580243</v>
      </c>
      <c r="G200">
        <f>(-514*(SIN(RADIANS(0.85))))*-1</f>
        <v>7.6250637997071395</v>
      </c>
      <c r="J200">
        <f>((-514*(SIN(RADIANS(0.85))))*-1)*1.2</f>
        <v>9.1500765596485678</v>
      </c>
      <c r="K200">
        <f t="shared" si="3"/>
        <v>9</v>
      </c>
    </row>
    <row r="201" spans="1:11" x14ac:dyDescent="0.3">
      <c r="A201">
        <v>19214</v>
      </c>
      <c r="B201">
        <v>-558</v>
      </c>
      <c r="D201">
        <f>-514*(SIN(RADIANS(0.85)))</f>
        <v>-7.6250637997071395</v>
      </c>
      <c r="E201">
        <f>19214*(SIN(RADIANS(0.85)))</f>
        <v>285.03497246609533</v>
      </c>
      <c r="G201">
        <f>(-558*(SIN(RADIANS(0.85))))*-1</f>
        <v>8.2777929965692287</v>
      </c>
      <c r="J201">
        <f>((-558*(SIN(RADIANS(0.85))))*-1)*1.2</f>
        <v>9.9333515958830745</v>
      </c>
      <c r="K201">
        <f t="shared" si="3"/>
        <v>10</v>
      </c>
    </row>
    <row r="202" spans="1:11" x14ac:dyDescent="0.3">
      <c r="A202">
        <v>18656</v>
      </c>
      <c r="D202">
        <f>-558*(SIN(RADIANS(0.85)))</f>
        <v>-8.2777929965692287</v>
      </c>
      <c r="E202">
        <f>18656*(SIN(RADIANS(0.85)))</f>
        <v>276.75717946952608</v>
      </c>
    </row>
    <row r="204" spans="1:11" x14ac:dyDescent="0.3">
      <c r="G204" t="s">
        <v>5</v>
      </c>
      <c r="J204" t="s">
        <v>5</v>
      </c>
    </row>
    <row r="205" spans="1:11" x14ac:dyDescent="0.3">
      <c r="D205" t="s">
        <v>5</v>
      </c>
      <c r="G205" t="s">
        <v>4</v>
      </c>
      <c r="J205" t="s">
        <v>4</v>
      </c>
    </row>
    <row r="206" spans="1:11" x14ac:dyDescent="0.3">
      <c r="D20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Nguyen</dc:creator>
  <cp:lastModifiedBy>Daniil Nguyen</cp:lastModifiedBy>
  <dcterms:created xsi:type="dcterms:W3CDTF">2026-04-24T10:27:07Z</dcterms:created>
  <dcterms:modified xsi:type="dcterms:W3CDTF">2026-04-25T05:27:39Z</dcterms:modified>
</cp:coreProperties>
</file>